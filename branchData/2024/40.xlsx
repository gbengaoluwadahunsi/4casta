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lusola.Alabi\Desktop\2024 Data\"/>
    </mc:Choice>
  </mc:AlternateContent>
  <xr:revisionPtr revIDLastSave="0" documentId="8_{F7CEF496-4E3D-47C7-A895-E1A1A79D7336}" xr6:coauthVersionLast="47" xr6:coauthVersionMax="47" xr10:uidLastSave="{00000000-0000-0000-0000-000000000000}"/>
  <bookViews>
    <workbookView xWindow="-108" yWindow="-108" windowWidth="23256" windowHeight="12456" xr2:uid="{7327A81E-2A6A-4228-9326-C47B11F4F25E}"/>
  </bookViews>
  <sheets>
    <sheet name="Sheet1" sheetId="1" r:id="rId1"/>
  </sheets>
  <externalReferences>
    <externalReference r:id="rId2"/>
  </externalReferences>
  <definedNames>
    <definedName name="Period">[1]Inputs!$B$6</definedName>
  </definedNames>
  <calcPr calcId="191029" calcCompleted="0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<sst xmlns="http://schemas.openxmlformats.org/spreadsheetml/2006/main" count="212" uniqueCount="200">
  <si>
    <t>Orkin Canada</t>
  </si>
  <si>
    <t>Calgary North</t>
  </si>
  <si>
    <t>2024 Full Year Trend</t>
  </si>
  <si>
    <t>Actual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</si>
  <si>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</si>
  <si>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</si>
  <si>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</si>
  <si>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</si>
  <si>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</si>
  <si>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</si>
  <si>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</si>
  <si>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</si>
  <si>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</si>
  <si>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</si>
  <si>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</si>
  <si>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</si>
  <si>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YTD</t>
  </si>
  <si>
    <t>PEST CONTROL REVENUE</t>
  </si>
  <si>
    <t>COMMERCIAL REVENUE</t>
  </si>
  <si>
    <t>COMMERCIAL BED BUG REVENUE (recur)</t>
  </si>
  <si>
    <t>FLY CONTROL</t>
  </si>
  <si>
    <t>ORKIN/AIRE</t>
  </si>
  <si>
    <t>FEMININE HYGIENE</t>
  </si>
  <si>
    <t>DRAIN MAINTENANCE</t>
  </si>
  <si>
    <t>Spare Row</t>
  </si>
  <si>
    <t>SOAK TANK</t>
  </si>
  <si>
    <t>SUBTOTAL MONTHLY</t>
  </si>
  <si>
    <t>RESIDENTIAL CONTRACT</t>
  </si>
  <si>
    <t>VALU PLUS COMM REVENUE</t>
  </si>
  <si>
    <t>SEASONAL REV  &amp; OTHER</t>
  </si>
  <si>
    <t>SUBTOTAL/ALTERNATE/SEASONAL</t>
  </si>
  <si>
    <t>GROSS CONTRACT REVENUE</t>
  </si>
  <si>
    <t>ALLOWANCES</t>
  </si>
  <si>
    <t>PC COMM MGMT FAILURE</t>
  </si>
  <si>
    <t>RESIDENTIAL MGMT FAILURE</t>
  </si>
  <si>
    <t>YEAR IN ADVANCE</t>
  </si>
  <si>
    <t>PC SALES DISC</t>
  </si>
  <si>
    <t>TOTAL ALLOWANCES</t>
  </si>
  <si>
    <t>NET CONTRACT REVENUE</t>
  </si>
  <si>
    <t>MISCELLANEOUS REVENUE</t>
  </si>
  <si>
    <t>RESIDENTIAL BED BUG REVENUE</t>
  </si>
  <si>
    <t>COMMERCIAL BED BUG REVENUE</t>
  </si>
  <si>
    <t>RESIDENTIAL SPECIAL SERVICES</t>
  </si>
  <si>
    <t>COMMERCIAL SPECIAL SERVICES</t>
  </si>
  <si>
    <t>PRODUCT SALES</t>
  </si>
  <si>
    <t>FUMIGATION PC</t>
  </si>
  <si>
    <t>TOTAL MISC REVENUE</t>
  </si>
  <si>
    <t>TOTAL NET PC REVENUE</t>
  </si>
  <si>
    <t>TERMITE (TC) REVENUE</t>
  </si>
  <si>
    <t>TERMITE TREATING</t>
  </si>
  <si>
    <t>TC MGMT FAILURE</t>
  </si>
  <si>
    <t>PRETREAT</t>
  </si>
  <si>
    <t>INSPECTION FEES</t>
  </si>
  <si>
    <t>TOTAL NET TC REVENUE</t>
  </si>
  <si>
    <t>TOTAL NET REVENUE</t>
  </si>
  <si>
    <t>PAYROLL</t>
  </si>
  <si>
    <t>DIVISION MANAGER</t>
  </si>
  <si>
    <t>REGION MANAGER SALARY</t>
  </si>
  <si>
    <t>BRANCH MANAGER SALARY</t>
  </si>
  <si>
    <t>QUALITY ASSURANCE</t>
  </si>
  <si>
    <t>MANAGER TRAINEE</t>
  </si>
  <si>
    <t>SUBTOTALS MANAGERS</t>
  </si>
  <si>
    <t>MANAGERS INCENTIVES PAID</t>
  </si>
  <si>
    <t>MGR INCENTIVE ACCRUED</t>
  </si>
  <si>
    <t>SUBTOTAL MGR INCENTIVES</t>
  </si>
  <si>
    <t>OFFICE SALARIES</t>
  </si>
  <si>
    <t>VAC / HOLIDAY / SICK</t>
  </si>
  <si>
    <t>OFFICE SAL FLD OT</t>
  </si>
  <si>
    <t>TEMP OFFICE PERS</t>
  </si>
  <si>
    <t>SUBTOTAL OFFICE</t>
  </si>
  <si>
    <t>SUBTOTAL ADMIN PAYROLL</t>
  </si>
  <si>
    <t>SALESPERSON SALARIES</t>
  </si>
  <si>
    <t>ASM &amp; NATIONAL SALES SALARIES</t>
  </si>
  <si>
    <t>SALES COMMISSIONS / BONUS</t>
  </si>
  <si>
    <t>SALES VAC / HOL / SICK</t>
  </si>
  <si>
    <t>TECHNICIAN SALES COMMISSION</t>
  </si>
  <si>
    <t>SUBTOTAL SALES PAYROLL</t>
  </si>
  <si>
    <t>TECHNICIAN SERVICE SALARIES</t>
  </si>
  <si>
    <t>TECHNICIAN SERV PRODUCTION</t>
  </si>
  <si>
    <t>PC VAC / HOL / SICK</t>
  </si>
  <si>
    <t>PC SERV WAGES - OT</t>
  </si>
  <si>
    <t>SUBTOTAL SERV PAYROLL</t>
  </si>
  <si>
    <t>SERV MGR SALARY</t>
  </si>
  <si>
    <t>SERV MGR BONUS</t>
  </si>
  <si>
    <t>TOTAL SERVICE WAGES</t>
  </si>
  <si>
    <t>TOTAL PAYROLL</t>
  </si>
  <si>
    <t>PERSONNEL RELATED</t>
  </si>
  <si>
    <t>PAYROLL TAXES</t>
  </si>
  <si>
    <t>INS-GROUP BENEFITS</t>
  </si>
  <si>
    <t>INS-GROUP DEDUCTIONS</t>
  </si>
  <si>
    <t>UNIFORMS</t>
  </si>
  <si>
    <t>MOVING</t>
  </si>
  <si>
    <t>TRAINING</t>
  </si>
  <si>
    <t>PROF RECRUITING</t>
  </si>
  <si>
    <t>MEDICAL</t>
  </si>
  <si>
    <t>OTHER PERSONNEL RELATED</t>
  </si>
  <si>
    <t>TOTAL PERSONNEL EXPENSES</t>
  </si>
  <si>
    <t>TOTAL EMPL COST</t>
  </si>
  <si>
    <t>MATERIALS AND SUPPLIES</t>
  </si>
  <si>
    <t>PC CHEMICALS</t>
  </si>
  <si>
    <t>FREIGHT IN</t>
  </si>
  <si>
    <t>PC TOOLS &amp; EQUIPMENT</t>
  </si>
  <si>
    <t>M&amp;S FLY LIGHTS</t>
  </si>
  <si>
    <t>SUB TOTAL M&amp;S</t>
  </si>
  <si>
    <t>COGS PRODUCTS &amp; EQUIPMENT</t>
  </si>
  <si>
    <t>TOTAL MATERIAL &amp; SUPPLIES</t>
  </si>
  <si>
    <t>VEHICLE EXPENSES</t>
  </si>
  <si>
    <t>GASOLINE</t>
  </si>
  <si>
    <t>TIRES</t>
  </si>
  <si>
    <t>OIL CHANGE</t>
  </si>
  <si>
    <t>OTHER OPERATING EXPENSES</t>
  </si>
  <si>
    <t>TOTAL VEHICLE OPERATING</t>
  </si>
  <si>
    <t>VEHICLE STANDING EXPENSES</t>
  </si>
  <si>
    <t>LEASE</t>
  </si>
  <si>
    <t>DEPRECIATION</t>
  </si>
  <si>
    <t>VEH GAIN / LOSS</t>
  </si>
  <si>
    <t>LICENSES / TAXES</t>
  </si>
  <si>
    <t>TOTAL STAND EXPENSES</t>
  </si>
  <si>
    <t>TOTAL VEHICLE EXPENSE</t>
  </si>
  <si>
    <t>AUTO ALLOWANCE</t>
  </si>
  <si>
    <t>PER USE DEDUCTIONS</t>
  </si>
  <si>
    <t>TOTAL FLEET</t>
  </si>
  <si>
    <t>INSURANCE &amp; CLAIMS</t>
  </si>
  <si>
    <t>VEHICLE ACCIDENT</t>
  </si>
  <si>
    <t>CLAIMS - GENERAL  LIABILITY</t>
  </si>
  <si>
    <t>INS - GENERAL LIABILITY</t>
  </si>
  <si>
    <t>INS - AUTO LIABILITY</t>
  </si>
  <si>
    <t>INS - WORKERS COMPENSATION</t>
  </si>
  <si>
    <t>SUBTOTAL INSURANCE &amp; CLAIMS</t>
  </si>
  <si>
    <t>CATASTROPHIC ACCRUAL</t>
  </si>
  <si>
    <t>TOTAL INSURANCE &amp; CLAIMS</t>
  </si>
  <si>
    <t>BAD DEBTS</t>
  </si>
  <si>
    <t>BAD DEBT EXPENSE</t>
  </si>
  <si>
    <t>RECOVERIES</t>
  </si>
  <si>
    <t>SUBTOTAL BAD DEBTS</t>
  </si>
  <si>
    <t>BAD DEBT ACCRUAL</t>
  </si>
  <si>
    <t>OUT OF POLICY</t>
  </si>
  <si>
    <t>TOTAL BAD DEBTS</t>
  </si>
  <si>
    <t>OTHER EXPENSES</t>
  </si>
  <si>
    <t>FIXED EXPENSES</t>
  </si>
  <si>
    <t>ADVERTISING DIRECT</t>
  </si>
  <si>
    <t>RENT - BRANCH</t>
  </si>
  <si>
    <t>TAXES PROP/OTHER</t>
  </si>
  <si>
    <t>TOTAL FIXED EXPENSE</t>
  </si>
  <si>
    <t>CONTROLLABLE EXPENSES</t>
  </si>
  <si>
    <t>OFFICE SUPPLIES</t>
  </si>
  <si>
    <t>PRINTING &amp; FORMS</t>
  </si>
  <si>
    <t>COMPUTER SUPPLIES</t>
  </si>
  <si>
    <t>TRAVEL</t>
  </si>
  <si>
    <t>CONFERENCE</t>
  </si>
  <si>
    <t>TELEPHONE &amp; UTILITIES</t>
  </si>
  <si>
    <t>LOCAL CENTRALIZED</t>
  </si>
  <si>
    <t>LONG DISTANCE CENTRALIZED</t>
  </si>
  <si>
    <t>CELLULAR TELEPHONE</t>
  </si>
  <si>
    <t>OTHER COMMUNICATION</t>
  </si>
  <si>
    <t>SUBTOTAL TELEPHONE</t>
  </si>
  <si>
    <t>UTILITIES</t>
  </si>
  <si>
    <t>SUBTOTAL TELE. &amp; UTILITIES</t>
  </si>
  <si>
    <t>PROFESSIONAL SERVICES</t>
  </si>
  <si>
    <t>MAINTENANCE &amp; REPAIRS</t>
  </si>
  <si>
    <t>EQUIPMENT RENTAL</t>
  </si>
  <si>
    <t>POSTAGE</t>
  </si>
  <si>
    <t>BANK SERVICE CHARGES</t>
  </si>
  <si>
    <t>CREDIT CARD SERVICE FEE</t>
  </si>
  <si>
    <t>MISCELLANEOUS</t>
  </si>
  <si>
    <t>TOTAL CONTROLLABLE</t>
  </si>
  <si>
    <t>TOTAL OTHER EXPENSE</t>
  </si>
  <si>
    <t>TOTAL EXPENSES</t>
  </si>
  <si>
    <t>CONTRIBUTION B/4 OVERHEAD</t>
  </si>
  <si>
    <t>OVERHEAD ALLOCATIONS</t>
  </si>
  <si>
    <t>SALES ALLOCATIONS</t>
  </si>
  <si>
    <t>QA ALLOCATIONS</t>
  </si>
  <si>
    <t>AR ALLOCATIONS</t>
  </si>
  <si>
    <t>DATA PROCESSING ALLOCATIONS</t>
  </si>
  <si>
    <t>ACCOUNTING ALLOCATIONS</t>
  </si>
  <si>
    <t>ADVERTISING &amp; MKTG - ALLOCATION</t>
  </si>
  <si>
    <t>Spare</t>
  </si>
  <si>
    <t>REGION SUPPORT SERVICES</t>
  </si>
  <si>
    <t>CANADA OVERHEAD ALLOCATIONS</t>
  </si>
  <si>
    <t>BMT ALLOCATIONS</t>
  </si>
  <si>
    <t>FLEET ALLOCATIONS</t>
  </si>
  <si>
    <t>CORPORATE ADMIN ALLOCATIONS</t>
  </si>
  <si>
    <t>HO ADMIN ALLOCATIONS</t>
  </si>
  <si>
    <t>HUMAN RESOURCES ALLOCATIONS</t>
  </si>
  <si>
    <t>INFORMATION TECH. ALLOCATIONS</t>
  </si>
  <si>
    <t>TOTAL OVERHEAD ALLOCATIONS</t>
  </si>
  <si>
    <t>OPERATING PROFIT</t>
  </si>
  <si>
    <t>OVERHEAD ALLOCATION REVERSAL</t>
  </si>
  <si>
    <t>BONUS OPERATING PROFIT</t>
  </si>
  <si>
    <t>HOME OFFICE OVERHEAD</t>
  </si>
  <si>
    <t>ACQUISITION COST</t>
  </si>
  <si>
    <t>NON RECURRING FEES</t>
  </si>
  <si>
    <t>ULTIPRO COST</t>
  </si>
  <si>
    <t>EXTERNAL PROFIT</t>
  </si>
  <si>
    <t>FOREIGN EXCHANGE GAIN/LOSS</t>
  </si>
  <si>
    <t>ROYALTY FEES</t>
  </si>
  <si>
    <t>INTEREST EXPENSE ORKIN</t>
  </si>
  <si>
    <t>CANADIAN TAXES</t>
  </si>
  <si>
    <t>NON-OP INT EXP/(REV)</t>
  </si>
  <si>
    <t>NET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</si>
</sst>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/mm/yyyy;@"/>
    <numFmt numFmtId="165" formatCode="[$-409]h:mm:ss\ AM/PM;@"/>
    <numFmt numFmtId="166" formatCode="#,###,##0;\(#,###,##0\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i/>
      <sz val="8"/>
      <color indexed="8"/>
      <name val="Arial"/>
      <family val="2"/>
    </font>
    <font>
      <i/>
      <sz val="8"/>
      <color indexed="8"/>
      <name val="Arial"/>
      <family val="2"/>
    </font>
    <font>
      <sz val="8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Border="0" applyAlignment="0"/>
  </cellStyleXfs>
  <cellXfs count="25">
    <xf numFmtId="0" fontId="0" fillId="0" borderId="0" xfId="0"/>
    <xf numFmtId="0" fontId="2" fillId="0" borderId="0" xfId="2" applyNumberFormat="1"/>
    <xf numFmtId="0" fontId="2" fillId="0" borderId="0" xfId="2" applyNumberFormat="1" applyAlignment="1">
      <alignment horizontal="center"/>
    </xf>
    <xf numFmtId="164" fontId="2" fillId="0" borderId="0" xfId="2" applyNumberFormat="1"/>
    <xf numFmtId="165" fontId="2" fillId="0" borderId="0" xfId="2" applyNumberFormat="1"/>
    <xf numFmtId="166" fontId="2" fillId="0" borderId="0" xfId="2" quotePrefix="1" applyNumberFormat="1" applyBorder="1" applyAlignment="1">
      <alignment horizontal="left"/>
    </xf>
    <xf numFmtId="0" fontId="2" fillId="0" borderId="0" xfId="2"/>
    <xf numFmtId="0" fontId="3" fillId="0" borderId="0" xfId="2" applyFont="1" applyAlignment="1">
      <alignment horizontal="left"/>
    </xf>
    <xf numFmtId="166" fontId="3" fillId="0" borderId="0" xfId="2" applyNumberFormat="1" applyFont="1"/>
    <xf numFmtId="166" fontId="2" fillId="0" borderId="0" xfId="2" applyNumberFormat="1"/>
    <xf numFmtId="0" fontId="2" fillId="0" borderId="0" xfId="2" quotePrefix="1" applyAlignment="1">
      <alignment horizontal="left"/>
    </xf>
    <xf numFmtId="166" fontId="2" fillId="0" borderId="1" xfId="2" applyNumberFormat="1" applyBorder="1"/>
    <xf numFmtId="166" fontId="2" fillId="0" borderId="0" xfId="2" applyNumberFormat="1" applyBorder="1"/>
    <xf numFmtId="0" fontId="2" fillId="0" borderId="0" xfId="2" applyAlignment="1">
      <alignment horizontal="left"/>
    </xf>
    <xf numFmtId="0" fontId="3" fillId="0" borderId="0" xfId="2" quotePrefix="1" applyFont="1" applyAlignment="1">
      <alignment horizontal="left"/>
    </xf>
    <xf numFmtId="166" fontId="3" fillId="0" borderId="1" xfId="2" applyNumberFormat="1" applyFont="1" applyBorder="1"/>
    <xf numFmtId="166" fontId="2" fillId="0" borderId="2" xfId="2" applyNumberFormat="1" applyBorder="1"/>
    <xf numFmtId="166" fontId="2" fillId="0" borderId="0" xfId="2" quotePrefix="1" applyNumberFormat="1" applyAlignment="1">
      <alignment horizontal="fill"/>
    </xf>
    <xf numFmtId="166" fontId="2" fillId="0" borderId="3" xfId="2" applyNumberFormat="1" applyBorder="1"/>
    <xf numFmtId="166" fontId="2" fillId="0" borderId="4" xfId="2" applyNumberFormat="1" applyBorder="1"/>
    <xf numFmtId="166" fontId="2" fillId="0" borderId="5" xfId="2" applyNumberFormat="1" applyBorder="1"/>
    <xf numFmtId="43" fontId="2" fillId="0" borderId="0" xfId="1" quotePrefix="1" applyFont="1" applyAlignment="1">
      <alignment horizontal="fill"/>
    </xf>
    <xf numFmtId="0" fontId="4" fillId="0" borderId="0" xfId="2" applyFont="1" applyAlignment="1">
      <alignment horizontal="left"/>
    </xf>
    <xf numFmtId="166" fontId="2" fillId="0" borderId="6" xfId="2" applyNumberFormat="1" applyBorder="1"/>
    <xf numFmtId="166" fontId="3" fillId="0" borderId="2" xfId="2" applyNumberFormat="1" applyFont="1" applyBorder="1"/>
  </cellXfs>
  <cellStyles count="3">
    <cellStyle name="Comma" xfId="1" builtinId="3"/>
    <cellStyle name="Normal" xfId="0" builtinId="0"/>
    <cellStyle name="STYLE1" xfId="2" xr:uid="{1F73DE5D-0B40-4146-B3E9-76971161879C}"/>
  </cellStyles>
  <dxfs count="1">
    <dxf>
      <font>
        <strike val="0"/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lusola.Alabi\Desktop\P&amp;L%20ACCOUNT\Orkin%20Canada%20P&amp;L%2012-2024.xlsm" TargetMode="External"/><Relationship Id="rId1" Type="http://schemas.openxmlformats.org/officeDocument/2006/relationships/externalLinkPath" Target="/Users/Olusola.Alabi/Desktop/P&amp;L%20ACCOUNT/Orkin%20Canada%20P&amp;L%2012-2024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puts"/>
      <sheetName val="ToC"/>
      <sheetName val="Travel"/>
      <sheetName val="Mktg Dept by GL"/>
      <sheetName val="ORKIN CANADA"/>
      <sheetName val="PACIFIC REGION"/>
      <sheetName val="42 PAC OH"/>
      <sheetName val="442 PAC QA"/>
      <sheetName val="642 PAC SALES"/>
      <sheetName val="27 BC INT N"/>
      <sheetName val="28 ATLAS"/>
      <sheetName val="29 VPC"/>
      <sheetName val="30 RICHMOND"/>
      <sheetName val="31 VCR"/>
      <sheetName val="32 BC INT S"/>
      <sheetName val="33 VALLEY"/>
      <sheetName val="34 VCR ISLAND"/>
      <sheetName val="TTL ISLAND"/>
      <sheetName val="36 BURNABY"/>
      <sheetName val="PRAIRIE REGION"/>
      <sheetName val="35 PRA OH"/>
      <sheetName val="435 PRA QA"/>
      <sheetName val="635 PRA SALES"/>
      <sheetName val="37 EDM S"/>
      <sheetName val="46 EDM N"/>
      <sheetName val="38 CAL S"/>
      <sheetName val="39 SASK"/>
      <sheetName val="40 CAL N"/>
      <sheetName val="41 CAL RES"/>
      <sheetName val="43 PRA FUM"/>
      <sheetName val="44 MANITOBA"/>
      <sheetName val="ONTARIO REGION"/>
      <sheetName val="971 ON OH"/>
      <sheetName val="471 ON QA"/>
      <sheetName val="671 ON SALES"/>
      <sheetName val="6 STONEY CR"/>
      <sheetName val="10 SE ON"/>
      <sheetName val="9 SUDBURY"/>
      <sheetName val="14 CAMBRIDGE"/>
      <sheetName val="15 NORTH BAY"/>
      <sheetName val="TTL SUD_N BAY"/>
      <sheetName val="16 BARRIE"/>
      <sheetName val="17 ON FUM"/>
      <sheetName val="18 LONDON"/>
      <sheetName val="19 WINDSOR"/>
      <sheetName val="GTA REGION"/>
      <sheetName val="973 GTA OH"/>
      <sheetName val="974 GTA CC"/>
      <sheetName val="473 GTA QA"/>
      <sheetName val="673 GTA SALES"/>
      <sheetName val="1 TOR W"/>
      <sheetName val="2 HI-RISE"/>
      <sheetName val="3 TOR E"/>
      <sheetName val="4 GTA RES"/>
      <sheetName val="5 MISSISSAUGA"/>
      <sheetName val="7 TOR N"/>
      <sheetName val="11 BRAMPTON"/>
      <sheetName val="12 DOWNTOWN"/>
      <sheetName val="EASTERN REGION"/>
      <sheetName val="QUEBEC BRANCHES"/>
      <sheetName val="957 QC OH"/>
      <sheetName val="457 QC QA"/>
      <sheetName val="657 QC SALES"/>
      <sheetName val="50 S SHORE-MTL"/>
      <sheetName val="51 N SHORE-QC CITY"/>
      <sheetName val="53 OTT W"/>
      <sheetName val="54 OTT E"/>
      <sheetName val="TTL OTT"/>
      <sheetName val="56 REGIONEX"/>
      <sheetName val="64 QC FUM"/>
      <sheetName val="ATLANTIC BRANCHES"/>
      <sheetName val="967 ATL OH"/>
      <sheetName val="968 ATL CC"/>
      <sheetName val="467 ATL QA"/>
      <sheetName val="667 ATL SALES"/>
      <sheetName val="60 PEI"/>
      <sheetName val="61 NB"/>
      <sheetName val="62 NS"/>
      <sheetName val="TTL NFLD"/>
      <sheetName val="63 NF LAB E"/>
      <sheetName val="65 NF LAB W"/>
      <sheetName val="FUNCTIONALS"/>
      <sheetName val="947 CAN OH"/>
      <sheetName val="976 BMT"/>
      <sheetName val="NTL ACCTS (total)"/>
      <sheetName val="678 NA SALES"/>
      <sheetName val="878 NA BILLING"/>
      <sheetName val="978 NA ADMIN"/>
      <sheetName val="980 COMPLIANCE"/>
      <sheetName val="491 TRAIN"/>
      <sheetName val="979 FLEET"/>
      <sheetName val="991 NA QA"/>
      <sheetName val="992 MKTG"/>
      <sheetName val="993 HR"/>
      <sheetName val="994 PAY"/>
      <sheetName val="996 IT"/>
      <sheetName val="997 ACCTG"/>
      <sheetName val="998 DATA"/>
      <sheetName val="999 CASH APPS"/>
      <sheetName val="990 CORP ADMIN"/>
      <sheetName val="995 CORP AR"/>
      <sheetName val="TTL QA"/>
    </sheetNames>
    <sheetDataSet>
      <sheetData sheetId="0">
        <row r="6">
          <cell r="B6">
            <v>12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5766C-AF94-4E1F-A0DD-D2A9712D7742}">
  <dimension ref="A1:N271"/>
  <sheetViews>
    <sheetView tabSelected="1" workbookViewId="0">
      <selection sqref="A1:N271"/>
    </sheetView>
  </sheetViews>
  <sheetFormatPr defaultRowHeight="14.4" x14ac:dyDescent="0.3"/>
  <sheetData>
    <row r="1" spans="1:14" x14ac:dyDescent="0.3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x14ac:dyDescent="0.3">
      <c r="A2" s="3"/>
      <c r="B2" s="2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x14ac:dyDescent="0.3">
      <c r="A3" s="4"/>
      <c r="B3" s="2" t="s">
        <v>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x14ac:dyDescent="0.3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  <c r="M5" s="1" t="s">
        <v>15</v>
      </c>
      <c r="N5" s="1" t="s">
        <v>16</v>
      </c>
    </row>
    <row r="6" spans="1:14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x14ac:dyDescent="0.3">
      <c r="A8" s="5" t="s">
        <v>17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</row>
    <row r="9" spans="1:14" x14ac:dyDescent="0.3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</row>
    <row r="10" spans="1:14" x14ac:dyDescent="0.3">
      <c r="A10" s="7" t="s">
        <v>18</v>
      </c>
      <c r="B10" s="8">
        <v>233013.59</v>
      </c>
      <c r="C10" s="8">
        <v>232476.79</v>
      </c>
      <c r="D10" s="8">
        <v>234369.26</v>
      </c>
      <c r="E10" s="8">
        <v>247503.06</v>
      </c>
      <c r="F10" s="8">
        <v>250586.88</v>
      </c>
      <c r="G10" s="8">
        <v>248486.23</v>
      </c>
      <c r="H10" s="8">
        <v>249492.39</v>
      </c>
      <c r="I10" s="8">
        <v>250640.43</v>
      </c>
      <c r="J10" s="8">
        <v>248106.03</v>
      </c>
      <c r="K10" s="8">
        <v>250221.24</v>
      </c>
      <c r="L10" s="8">
        <v>251732.67</v>
      </c>
      <c r="M10" s="8">
        <v>251094.11</v>
      </c>
      <c r="N10" s="9">
        <v>2947722.68</v>
      </c>
    </row>
    <row r="11" spans="1:14" x14ac:dyDescent="0.3">
      <c r="A11" s="7" t="s">
        <v>19</v>
      </c>
      <c r="B11" s="8">
        <v>0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9">
        <v>0</v>
      </c>
    </row>
    <row r="12" spans="1:14" x14ac:dyDescent="0.3">
      <c r="A12" s="7" t="s">
        <v>20</v>
      </c>
      <c r="B12" s="8">
        <v>7468.11</v>
      </c>
      <c r="C12" s="8">
        <v>7284.11</v>
      </c>
      <c r="D12" s="8">
        <v>7793.11</v>
      </c>
      <c r="E12" s="8">
        <v>8003.11</v>
      </c>
      <c r="F12" s="8">
        <v>8423.81</v>
      </c>
      <c r="G12" s="8">
        <v>8347.91</v>
      </c>
      <c r="H12" s="8">
        <v>8365.56</v>
      </c>
      <c r="I12" s="8">
        <v>8596.36</v>
      </c>
      <c r="J12" s="8">
        <v>8815.36</v>
      </c>
      <c r="K12" s="8">
        <v>8497.36</v>
      </c>
      <c r="L12" s="8">
        <v>7779.66</v>
      </c>
      <c r="M12" s="8">
        <v>7630.56</v>
      </c>
      <c r="N12" s="9">
        <v>97005.02</v>
      </c>
    </row>
    <row r="13" spans="1:14" x14ac:dyDescent="0.3">
      <c r="A13" s="7" t="s">
        <v>21</v>
      </c>
      <c r="B13" s="8">
        <v>3230.6</v>
      </c>
      <c r="C13" s="8">
        <v>3231.6</v>
      </c>
      <c r="D13" s="8">
        <v>3466.6</v>
      </c>
      <c r="E13" s="8">
        <v>3294.85</v>
      </c>
      <c r="F13" s="8">
        <v>3571.85</v>
      </c>
      <c r="G13" s="8">
        <v>3492.85</v>
      </c>
      <c r="H13" s="8">
        <v>3486.85</v>
      </c>
      <c r="I13" s="8">
        <v>3486.85</v>
      </c>
      <c r="J13" s="8">
        <v>3457.05</v>
      </c>
      <c r="K13" s="8">
        <v>3425.05</v>
      </c>
      <c r="L13" s="8">
        <v>2847.3</v>
      </c>
      <c r="M13" s="8">
        <v>2847.3</v>
      </c>
      <c r="N13" s="9">
        <v>39838.75</v>
      </c>
    </row>
    <row r="14" spans="1:14" x14ac:dyDescent="0.3">
      <c r="A14" s="7" t="s">
        <v>22</v>
      </c>
      <c r="B14" s="8">
        <v>1999.3</v>
      </c>
      <c r="C14" s="8">
        <v>1999.3</v>
      </c>
      <c r="D14" s="8">
        <v>2014.3</v>
      </c>
      <c r="E14" s="8">
        <v>2272.3000000000002</v>
      </c>
      <c r="F14" s="8">
        <v>2156.3000000000002</v>
      </c>
      <c r="G14" s="8">
        <v>2051.3000000000002</v>
      </c>
      <c r="H14" s="8">
        <v>2011.3</v>
      </c>
      <c r="I14" s="8">
        <v>1831.3</v>
      </c>
      <c r="J14" s="8">
        <v>2011.3</v>
      </c>
      <c r="K14" s="8">
        <v>2011.3</v>
      </c>
      <c r="L14" s="8">
        <v>2056.3000000000002</v>
      </c>
      <c r="M14" s="8">
        <v>2071.3000000000002</v>
      </c>
      <c r="N14" s="9">
        <v>24485.599999999999</v>
      </c>
    </row>
    <row r="15" spans="1:14" x14ac:dyDescent="0.3">
      <c r="A15" s="7" t="s">
        <v>23</v>
      </c>
      <c r="B15" s="8">
        <v>1327.5</v>
      </c>
      <c r="C15" s="8">
        <v>1413.5</v>
      </c>
      <c r="D15" s="8">
        <v>1315.5</v>
      </c>
      <c r="E15" s="8">
        <v>1437.5</v>
      </c>
      <c r="F15" s="8">
        <v>1326.5</v>
      </c>
      <c r="G15" s="8">
        <v>1424.5</v>
      </c>
      <c r="H15" s="8">
        <v>1339.5</v>
      </c>
      <c r="I15" s="8">
        <v>1424.5</v>
      </c>
      <c r="J15" s="8">
        <v>1295.5</v>
      </c>
      <c r="K15" s="8">
        <v>2313.5</v>
      </c>
      <c r="L15" s="8">
        <v>1263.5</v>
      </c>
      <c r="M15" s="8">
        <v>1396.5</v>
      </c>
      <c r="N15" s="9">
        <v>17278</v>
      </c>
    </row>
    <row r="16" spans="1:14" x14ac:dyDescent="0.3">
      <c r="A16" s="7" t="s">
        <v>24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9"/>
    </row>
    <row r="17" spans="1:14" x14ac:dyDescent="0.3">
      <c r="A17" s="7" t="s">
        <v>25</v>
      </c>
      <c r="B17" s="8">
        <v>43</v>
      </c>
      <c r="C17" s="8">
        <v>43</v>
      </c>
      <c r="D17" s="8">
        <v>43</v>
      </c>
      <c r="E17" s="8">
        <v>44</v>
      </c>
      <c r="F17" s="8">
        <v>44</v>
      </c>
      <c r="G17" s="8">
        <v>44</v>
      </c>
      <c r="H17" s="8">
        <v>44</v>
      </c>
      <c r="I17" s="8">
        <v>44</v>
      </c>
      <c r="J17" s="8">
        <v>44</v>
      </c>
      <c r="K17" s="8">
        <v>44</v>
      </c>
      <c r="L17" s="8">
        <v>44</v>
      </c>
      <c r="M17" s="8">
        <v>44</v>
      </c>
      <c r="N17" s="9">
        <v>525</v>
      </c>
    </row>
    <row r="18" spans="1:14" x14ac:dyDescent="0.3">
      <c r="A18" s="10" t="s">
        <v>26</v>
      </c>
      <c r="B18" s="11">
        <v>247082.09999999998</v>
      </c>
      <c r="C18" s="11">
        <v>246448.3</v>
      </c>
      <c r="D18" s="11">
        <v>249001.77</v>
      </c>
      <c r="E18" s="11">
        <v>262554.81999999995</v>
      </c>
      <c r="F18" s="11">
        <v>266109.33999999997</v>
      </c>
      <c r="G18" s="11">
        <v>263846.79000000004</v>
      </c>
      <c r="H18" s="11">
        <v>264739.60000000003</v>
      </c>
      <c r="I18" s="11">
        <v>266023.43999999994</v>
      </c>
      <c r="J18" s="11">
        <v>263729.24</v>
      </c>
      <c r="K18" s="11">
        <v>266512.44999999995</v>
      </c>
      <c r="L18" s="11">
        <v>265723.43</v>
      </c>
      <c r="M18" s="11">
        <v>265083.76999999996</v>
      </c>
      <c r="N18" s="11">
        <v>3126855.0500000003</v>
      </c>
    </row>
    <row r="19" spans="1:14" x14ac:dyDescent="0.3">
      <c r="A19" s="10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</row>
    <row r="20" spans="1:14" x14ac:dyDescent="0.3">
      <c r="A20" s="13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6"/>
    </row>
    <row r="21" spans="1:14" x14ac:dyDescent="0.3">
      <c r="A21" s="7" t="s">
        <v>27</v>
      </c>
      <c r="B21" s="8">
        <v>1027.68</v>
      </c>
      <c r="C21" s="8">
        <v>918.96</v>
      </c>
      <c r="D21" s="8">
        <v>1420.42</v>
      </c>
      <c r="E21" s="8">
        <v>1567.64</v>
      </c>
      <c r="F21" s="8">
        <v>1852.31</v>
      </c>
      <c r="G21" s="8">
        <v>2687.27</v>
      </c>
      <c r="H21" s="8">
        <v>2437.9899999999998</v>
      </c>
      <c r="I21" s="8">
        <v>2013.85</v>
      </c>
      <c r="J21" s="8">
        <v>2182.0100000000002</v>
      </c>
      <c r="K21" s="8">
        <v>2138.34</v>
      </c>
      <c r="L21" s="8">
        <v>2001.88</v>
      </c>
      <c r="M21" s="8">
        <v>1126.58</v>
      </c>
      <c r="N21" s="9">
        <v>21374.93</v>
      </c>
    </row>
    <row r="22" spans="1:14" x14ac:dyDescent="0.3">
      <c r="A22" s="7" t="s">
        <v>28</v>
      </c>
      <c r="B22" s="8">
        <v>9713.1200000000008</v>
      </c>
      <c r="C22" s="8">
        <v>10112.24</v>
      </c>
      <c r="D22" s="8">
        <v>10385.64</v>
      </c>
      <c r="E22" s="8">
        <v>12549.14</v>
      </c>
      <c r="F22" s="8">
        <v>13008.93</v>
      </c>
      <c r="G22" s="8">
        <v>15512.86</v>
      </c>
      <c r="H22" s="8">
        <v>12567.08</v>
      </c>
      <c r="I22" s="8">
        <v>14845.06</v>
      </c>
      <c r="J22" s="8">
        <v>13835.32</v>
      </c>
      <c r="K22" s="8">
        <v>14053.85</v>
      </c>
      <c r="L22" s="8">
        <v>13371.91</v>
      </c>
      <c r="M22" s="8">
        <v>8829.16</v>
      </c>
      <c r="N22" s="9">
        <v>148784.31</v>
      </c>
    </row>
    <row r="23" spans="1:14" x14ac:dyDescent="0.3">
      <c r="A23" s="7" t="s">
        <v>24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9"/>
    </row>
    <row r="24" spans="1:14" x14ac:dyDescent="0.3">
      <c r="A24" s="7" t="s">
        <v>29</v>
      </c>
      <c r="B24" s="8">
        <v>1274.6600000000001</v>
      </c>
      <c r="C24" s="8">
        <v>576.58000000000004</v>
      </c>
      <c r="D24" s="8">
        <v>1183.45</v>
      </c>
      <c r="E24" s="8">
        <v>1917.98</v>
      </c>
      <c r="F24" s="8">
        <v>2360.91</v>
      </c>
      <c r="G24" s="8">
        <v>2527.1799999999998</v>
      </c>
      <c r="H24" s="8">
        <v>2270.61</v>
      </c>
      <c r="I24" s="8">
        <v>1893.53</v>
      </c>
      <c r="J24" s="8">
        <v>1858.96</v>
      </c>
      <c r="K24" s="8">
        <v>988.24</v>
      </c>
      <c r="L24" s="8">
        <v>1389.72</v>
      </c>
      <c r="M24" s="8">
        <v>1142.18</v>
      </c>
      <c r="N24" s="9">
        <v>19384</v>
      </c>
    </row>
    <row r="25" spans="1:14" x14ac:dyDescent="0.3">
      <c r="A25" s="10" t="s">
        <v>30</v>
      </c>
      <c r="B25" s="11">
        <v>12015.460000000001</v>
      </c>
      <c r="C25" s="11">
        <v>11607.78</v>
      </c>
      <c r="D25" s="11">
        <v>12989.51</v>
      </c>
      <c r="E25" s="11">
        <v>16034.759999999998</v>
      </c>
      <c r="F25" s="11">
        <v>17222.150000000001</v>
      </c>
      <c r="G25" s="11">
        <v>20727.310000000001</v>
      </c>
      <c r="H25" s="11">
        <v>17275.68</v>
      </c>
      <c r="I25" s="11">
        <v>18752.439999999999</v>
      </c>
      <c r="J25" s="11">
        <v>17876.29</v>
      </c>
      <c r="K25" s="11">
        <v>17180.43</v>
      </c>
      <c r="L25" s="11">
        <v>16763.510000000002</v>
      </c>
      <c r="M25" s="11">
        <v>11097.92</v>
      </c>
      <c r="N25" s="11">
        <v>189543.24</v>
      </c>
    </row>
    <row r="26" spans="1:14" x14ac:dyDescent="0.3">
      <c r="A26" s="10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</row>
    <row r="27" spans="1:14" x14ac:dyDescent="0.3">
      <c r="A27" s="10" t="s">
        <v>31</v>
      </c>
      <c r="B27" s="9">
        <v>259097.55999999997</v>
      </c>
      <c r="C27" s="9">
        <v>258056.08</v>
      </c>
      <c r="D27" s="9">
        <v>261991.28</v>
      </c>
      <c r="E27" s="9">
        <v>278589.57999999996</v>
      </c>
      <c r="F27" s="9">
        <v>283331.49</v>
      </c>
      <c r="G27" s="9">
        <v>284574.10000000003</v>
      </c>
      <c r="H27" s="9">
        <v>282015.28000000003</v>
      </c>
      <c r="I27" s="9">
        <v>284775.87999999995</v>
      </c>
      <c r="J27" s="9">
        <v>281605.52999999997</v>
      </c>
      <c r="K27" s="9">
        <v>283692.87999999995</v>
      </c>
      <c r="L27" s="9">
        <v>282486.94</v>
      </c>
      <c r="M27" s="9">
        <v>276181.68999999994</v>
      </c>
      <c r="N27" s="9">
        <v>3316398.29</v>
      </c>
    </row>
    <row r="28" spans="1:14" x14ac:dyDescent="0.3">
      <c r="A28" s="13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</row>
    <row r="29" spans="1:14" x14ac:dyDescent="0.3">
      <c r="A29" s="5" t="s">
        <v>32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</row>
    <row r="30" spans="1:14" x14ac:dyDescent="0.3">
      <c r="A30" s="5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</row>
    <row r="31" spans="1:14" x14ac:dyDescent="0.3">
      <c r="A31" s="7" t="s">
        <v>33</v>
      </c>
      <c r="B31" s="8">
        <v>-2264.37</v>
      </c>
      <c r="C31" s="8">
        <v>-1468.88</v>
      </c>
      <c r="D31" s="8">
        <v>-2321.54</v>
      </c>
      <c r="E31" s="8">
        <v>-2884.92</v>
      </c>
      <c r="F31" s="8">
        <v>-7007.18</v>
      </c>
      <c r="G31" s="8">
        <v>-804.72</v>
      </c>
      <c r="H31" s="8">
        <v>-1481.33</v>
      </c>
      <c r="I31" s="8">
        <v>-1389.67</v>
      </c>
      <c r="J31" s="8">
        <v>-269.58</v>
      </c>
      <c r="K31" s="8">
        <v>-1442.79</v>
      </c>
      <c r="L31" s="8">
        <v>-2793.32</v>
      </c>
      <c r="M31" s="8">
        <v>-2804.88</v>
      </c>
      <c r="N31" s="9">
        <v>-26933.18</v>
      </c>
    </row>
    <row r="32" spans="1:14" x14ac:dyDescent="0.3">
      <c r="A32" s="14" t="s">
        <v>34</v>
      </c>
      <c r="B32" s="8">
        <v>0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9">
        <v>0</v>
      </c>
    </row>
    <row r="33" spans="1:14" x14ac:dyDescent="0.3">
      <c r="A33" s="14" t="s">
        <v>35</v>
      </c>
      <c r="B33" s="8">
        <v>-159.41</v>
      </c>
      <c r="C33" s="8">
        <v>-154</v>
      </c>
      <c r="D33" s="8">
        <v>-206.23</v>
      </c>
      <c r="E33" s="8">
        <v>-202.67</v>
      </c>
      <c r="F33" s="8">
        <v>-176.08</v>
      </c>
      <c r="G33" s="8">
        <v>-190.23</v>
      </c>
      <c r="H33" s="8">
        <v>-231.17</v>
      </c>
      <c r="I33" s="8">
        <v>-246.57</v>
      </c>
      <c r="J33" s="8">
        <v>-258.19</v>
      </c>
      <c r="K33" s="8">
        <v>-182.23</v>
      </c>
      <c r="L33" s="8">
        <v>-183.92</v>
      </c>
      <c r="M33" s="8">
        <v>-146.93</v>
      </c>
      <c r="N33" s="9">
        <v>-2337.63</v>
      </c>
    </row>
    <row r="34" spans="1:14" x14ac:dyDescent="0.3">
      <c r="A34" s="14" t="s">
        <v>36</v>
      </c>
      <c r="B34" s="8">
        <v>-178.23</v>
      </c>
      <c r="C34" s="8">
        <v>-429.71</v>
      </c>
      <c r="D34" s="8">
        <v>-326.69</v>
      </c>
      <c r="E34" s="8">
        <v>-203.05</v>
      </c>
      <c r="F34" s="8">
        <v>-500.77</v>
      </c>
      <c r="G34" s="8">
        <v>-386.62</v>
      </c>
      <c r="H34" s="8">
        <v>-326.01</v>
      </c>
      <c r="I34" s="8">
        <v>-430.82</v>
      </c>
      <c r="J34" s="8">
        <v>-179.94</v>
      </c>
      <c r="K34" s="8">
        <v>-363.14</v>
      </c>
      <c r="L34" s="8">
        <v>-275.8</v>
      </c>
      <c r="M34" s="8">
        <v>-163.80000000000001</v>
      </c>
      <c r="N34" s="9">
        <v>-3764.58</v>
      </c>
    </row>
    <row r="35" spans="1:14" x14ac:dyDescent="0.3">
      <c r="A35" s="14" t="s">
        <v>37</v>
      </c>
      <c r="B35" s="11">
        <v>-2602.0099999999998</v>
      </c>
      <c r="C35" s="11">
        <v>-2052.59</v>
      </c>
      <c r="D35" s="11">
        <v>-2854.46</v>
      </c>
      <c r="E35" s="11">
        <v>-3290.6400000000003</v>
      </c>
      <c r="F35" s="11">
        <v>-7684.0300000000007</v>
      </c>
      <c r="G35" s="11">
        <v>-1381.5700000000002</v>
      </c>
      <c r="H35" s="11">
        <v>-2038.51</v>
      </c>
      <c r="I35" s="11">
        <v>-2067.06</v>
      </c>
      <c r="J35" s="11">
        <v>-707.71</v>
      </c>
      <c r="K35" s="11">
        <v>-1988.1599999999999</v>
      </c>
      <c r="L35" s="11">
        <v>-3253.0400000000004</v>
      </c>
      <c r="M35" s="11">
        <v>-3115.61</v>
      </c>
      <c r="N35" s="11">
        <v>-33035.39</v>
      </c>
    </row>
    <row r="36" spans="1:14" x14ac:dyDescent="0.3">
      <c r="A36" s="10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</row>
    <row r="37" spans="1:14" x14ac:dyDescent="0.3">
      <c r="A37" s="10" t="s">
        <v>38</v>
      </c>
      <c r="B37" s="11">
        <v>256495.54999999996</v>
      </c>
      <c r="C37" s="11">
        <v>256003.49</v>
      </c>
      <c r="D37" s="11">
        <v>259136.82</v>
      </c>
      <c r="E37" s="11">
        <v>275298.93999999994</v>
      </c>
      <c r="F37" s="11">
        <v>275647.45999999996</v>
      </c>
      <c r="G37" s="11">
        <v>283192.53000000003</v>
      </c>
      <c r="H37" s="11">
        <v>279976.77</v>
      </c>
      <c r="I37" s="11">
        <v>282708.81999999995</v>
      </c>
      <c r="J37" s="11">
        <v>280897.81999999995</v>
      </c>
      <c r="K37" s="11">
        <v>281704.71999999997</v>
      </c>
      <c r="L37" s="11">
        <v>279233.90000000002</v>
      </c>
      <c r="M37" s="11">
        <v>273066.07999999996</v>
      </c>
      <c r="N37" s="11">
        <v>3283362.9</v>
      </c>
    </row>
    <row r="38" spans="1:14" x14ac:dyDescent="0.3">
      <c r="A38" s="10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9"/>
    </row>
    <row r="39" spans="1:14" x14ac:dyDescent="0.3">
      <c r="A39" s="5" t="s">
        <v>39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</row>
    <row r="40" spans="1:14" x14ac:dyDescent="0.3">
      <c r="A40" s="5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</row>
    <row r="41" spans="1:14" x14ac:dyDescent="0.3">
      <c r="A41" s="14" t="s">
        <v>24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</row>
    <row r="42" spans="1:14" x14ac:dyDescent="0.3">
      <c r="A42" s="7" t="s">
        <v>40</v>
      </c>
      <c r="B42" s="8">
        <v>0</v>
      </c>
      <c r="C42" s="8">
        <v>0</v>
      </c>
      <c r="D42" s="8">
        <v>0</v>
      </c>
      <c r="E42" s="8">
        <v>0</v>
      </c>
      <c r="F42" s="8">
        <v>125</v>
      </c>
      <c r="G42" s="8">
        <v>275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9">
        <v>400</v>
      </c>
    </row>
    <row r="43" spans="1:14" x14ac:dyDescent="0.3">
      <c r="A43" s="7" t="s">
        <v>41</v>
      </c>
      <c r="B43" s="8">
        <v>2337.5</v>
      </c>
      <c r="C43" s="8">
        <v>0</v>
      </c>
      <c r="D43" s="8">
        <v>200</v>
      </c>
      <c r="E43" s="8">
        <v>0</v>
      </c>
      <c r="F43" s="8">
        <v>975</v>
      </c>
      <c r="G43" s="8">
        <v>1900</v>
      </c>
      <c r="H43" s="8">
        <v>0</v>
      </c>
      <c r="I43" s="8">
        <v>0</v>
      </c>
      <c r="J43" s="8">
        <v>0</v>
      </c>
      <c r="K43" s="8">
        <v>1400</v>
      </c>
      <c r="L43" s="8">
        <v>0</v>
      </c>
      <c r="M43" s="8">
        <v>0</v>
      </c>
      <c r="N43" s="9">
        <v>6812.5</v>
      </c>
    </row>
    <row r="44" spans="1:14" x14ac:dyDescent="0.3">
      <c r="A44" s="14" t="s">
        <v>42</v>
      </c>
      <c r="B44" s="8">
        <v>1200</v>
      </c>
      <c r="C44" s="8">
        <v>2190</v>
      </c>
      <c r="D44" s="8">
        <v>1845</v>
      </c>
      <c r="E44" s="8">
        <v>2190</v>
      </c>
      <c r="F44" s="8">
        <v>9215</v>
      </c>
      <c r="G44" s="8">
        <v>8535.02</v>
      </c>
      <c r="H44" s="8">
        <v>11395.01</v>
      </c>
      <c r="I44" s="8">
        <v>13695</v>
      </c>
      <c r="J44" s="8">
        <v>9935</v>
      </c>
      <c r="K44" s="8">
        <v>5306.67</v>
      </c>
      <c r="L44" s="8">
        <v>2385</v>
      </c>
      <c r="M44" s="8">
        <v>2025</v>
      </c>
      <c r="N44" s="9">
        <v>69916.7</v>
      </c>
    </row>
    <row r="45" spans="1:14" x14ac:dyDescent="0.3">
      <c r="A45" s="14" t="s">
        <v>43</v>
      </c>
      <c r="B45" s="8">
        <v>21774.76</v>
      </c>
      <c r="C45" s="8">
        <v>16193.5</v>
      </c>
      <c r="D45" s="8">
        <v>24135.01</v>
      </c>
      <c r="E45" s="8">
        <v>20385.259999999998</v>
      </c>
      <c r="F45" s="8">
        <v>50447.77</v>
      </c>
      <c r="G45" s="8">
        <v>71958.289999999994</v>
      </c>
      <c r="H45" s="8">
        <v>38235.980000000003</v>
      </c>
      <c r="I45" s="8">
        <v>44652.83</v>
      </c>
      <c r="J45" s="8">
        <v>43172.01</v>
      </c>
      <c r="K45" s="8">
        <v>36442.19</v>
      </c>
      <c r="L45" s="8">
        <v>19844.900000000001</v>
      </c>
      <c r="M45" s="8">
        <v>4265</v>
      </c>
      <c r="N45" s="9">
        <v>391507.5</v>
      </c>
    </row>
    <row r="46" spans="1:14" x14ac:dyDescent="0.3">
      <c r="A46" s="14" t="s">
        <v>44</v>
      </c>
      <c r="B46" s="8">
        <v>4414.8500000000004</v>
      </c>
      <c r="C46" s="8">
        <v>4159.01</v>
      </c>
      <c r="D46" s="8">
        <v>4702.8599999999997</v>
      </c>
      <c r="E46" s="8">
        <v>6888.3</v>
      </c>
      <c r="F46" s="8">
        <v>11883.02</v>
      </c>
      <c r="G46" s="8">
        <v>5824</v>
      </c>
      <c r="H46" s="8">
        <v>11795.2</v>
      </c>
      <c r="I46" s="8">
        <v>6397.05</v>
      </c>
      <c r="J46" s="8">
        <v>11051.29</v>
      </c>
      <c r="K46" s="8">
        <v>3575.1</v>
      </c>
      <c r="L46" s="8">
        <v>5019.8999999999996</v>
      </c>
      <c r="M46" s="8">
        <v>2574.4699999999998</v>
      </c>
      <c r="N46" s="9">
        <v>78285.05</v>
      </c>
    </row>
    <row r="47" spans="1:14" x14ac:dyDescent="0.3">
      <c r="A47" s="14" t="s">
        <v>45</v>
      </c>
      <c r="B47" s="8">
        <v>0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9">
        <v>0</v>
      </c>
    </row>
    <row r="48" spans="1:14" x14ac:dyDescent="0.3">
      <c r="A48" s="10" t="s">
        <v>46</v>
      </c>
      <c r="B48" s="15">
        <v>29727.11</v>
      </c>
      <c r="C48" s="15">
        <v>22542.510000000002</v>
      </c>
      <c r="D48" s="15">
        <v>30882.87</v>
      </c>
      <c r="E48" s="15">
        <v>29463.559999999998</v>
      </c>
      <c r="F48" s="15">
        <v>72645.789999999994</v>
      </c>
      <c r="G48" s="15">
        <v>88492.31</v>
      </c>
      <c r="H48" s="15">
        <v>61426.19</v>
      </c>
      <c r="I48" s="15">
        <v>64744.880000000005</v>
      </c>
      <c r="J48" s="15">
        <v>64158.3</v>
      </c>
      <c r="K48" s="15">
        <v>46723.96</v>
      </c>
      <c r="L48" s="15">
        <v>27249.800000000003</v>
      </c>
      <c r="M48" s="15">
        <v>8864.4699999999993</v>
      </c>
      <c r="N48" s="11">
        <v>546921.75</v>
      </c>
    </row>
    <row r="49" spans="1:14" x14ac:dyDescent="0.3">
      <c r="A49" s="10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</row>
    <row r="50" spans="1:14" x14ac:dyDescent="0.3">
      <c r="A50" s="10" t="s">
        <v>47</v>
      </c>
      <c r="B50" s="16">
        <v>286222.65999999997</v>
      </c>
      <c r="C50" s="16">
        <v>278546</v>
      </c>
      <c r="D50" s="16">
        <v>290019.69</v>
      </c>
      <c r="E50" s="16">
        <v>304762.49999999994</v>
      </c>
      <c r="F50" s="16">
        <v>348293.24999999994</v>
      </c>
      <c r="G50" s="16">
        <v>371684.84</v>
      </c>
      <c r="H50" s="16">
        <v>341402.96</v>
      </c>
      <c r="I50" s="16">
        <v>347453.69999999995</v>
      </c>
      <c r="J50" s="16">
        <v>345056.11999999994</v>
      </c>
      <c r="K50" s="16">
        <v>328428.68</v>
      </c>
      <c r="L50" s="16">
        <v>306483.7</v>
      </c>
      <c r="M50" s="16">
        <v>281930.54999999993</v>
      </c>
      <c r="N50" s="16">
        <v>3830284.65</v>
      </c>
    </row>
    <row r="51" spans="1:14" ht="15" thickBot="1" x14ac:dyDescent="0.35">
      <c r="A51" s="13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</row>
    <row r="52" spans="1:14" ht="15" thickTop="1" x14ac:dyDescent="0.3">
      <c r="A52" s="10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</row>
    <row r="53" spans="1:14" ht="15" thickBot="1" x14ac:dyDescent="0.35">
      <c r="A53" s="10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</row>
    <row r="54" spans="1:14" ht="15" thickTop="1" x14ac:dyDescent="0.3">
      <c r="A54" s="13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</row>
    <row r="55" spans="1:14" x14ac:dyDescent="0.3">
      <c r="A55" s="5" t="s">
        <v>48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</row>
    <row r="56" spans="1:14" x14ac:dyDescent="0.3">
      <c r="A56" s="5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</row>
    <row r="57" spans="1:14" x14ac:dyDescent="0.3">
      <c r="A57" s="14" t="s">
        <v>49</v>
      </c>
      <c r="B57" s="8">
        <v>0</v>
      </c>
      <c r="C57" s="8">
        <v>0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9">
        <v>0</v>
      </c>
    </row>
    <row r="58" spans="1:14" x14ac:dyDescent="0.3">
      <c r="A58" s="7" t="s">
        <v>50</v>
      </c>
      <c r="B58" s="8">
        <v>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9">
        <v>0</v>
      </c>
    </row>
    <row r="59" spans="1:14" x14ac:dyDescent="0.3">
      <c r="A59" s="14" t="s">
        <v>51</v>
      </c>
      <c r="B59" s="8">
        <v>0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9">
        <v>0</v>
      </c>
    </row>
    <row r="60" spans="1:14" x14ac:dyDescent="0.3">
      <c r="A60" s="14" t="s">
        <v>52</v>
      </c>
      <c r="B60" s="8">
        <v>0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9">
        <v>0</v>
      </c>
    </row>
    <row r="61" spans="1:14" x14ac:dyDescent="0.3">
      <c r="A61" s="14" t="s">
        <v>24</v>
      </c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</row>
    <row r="62" spans="1:14" x14ac:dyDescent="0.3">
      <c r="A62" s="10" t="s">
        <v>53</v>
      </c>
      <c r="B62" s="11">
        <v>0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  <c r="H62" s="11">
        <v>0</v>
      </c>
      <c r="I62" s="11">
        <v>0</v>
      </c>
      <c r="J62" s="11">
        <v>0</v>
      </c>
      <c r="K62" s="11">
        <v>0</v>
      </c>
      <c r="L62" s="11">
        <v>0</v>
      </c>
      <c r="M62" s="11">
        <v>0</v>
      </c>
      <c r="N62" s="11">
        <v>0</v>
      </c>
    </row>
    <row r="63" spans="1:14" x14ac:dyDescent="0.3">
      <c r="A63" s="10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</row>
    <row r="64" spans="1:14" x14ac:dyDescent="0.3">
      <c r="A64" s="10" t="s">
        <v>54</v>
      </c>
      <c r="B64" s="11">
        <v>286222.65999999997</v>
      </c>
      <c r="C64" s="11">
        <v>278546</v>
      </c>
      <c r="D64" s="11">
        <v>290019.69</v>
      </c>
      <c r="E64" s="11">
        <v>304762.49999999994</v>
      </c>
      <c r="F64" s="11">
        <v>348293.24999999994</v>
      </c>
      <c r="G64" s="11">
        <v>371684.84</v>
      </c>
      <c r="H64" s="11">
        <v>341402.96</v>
      </c>
      <c r="I64" s="11">
        <v>347453.69999999995</v>
      </c>
      <c r="J64" s="11">
        <v>345056.11999999994</v>
      </c>
      <c r="K64" s="11">
        <v>328428.68</v>
      </c>
      <c r="L64" s="11">
        <v>306483.7</v>
      </c>
      <c r="M64" s="11">
        <v>281930.54999999993</v>
      </c>
      <c r="N64" s="11">
        <v>3830284.65</v>
      </c>
    </row>
    <row r="65" spans="1:14" ht="15" thickBot="1" x14ac:dyDescent="0.35">
      <c r="A65" s="13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</row>
    <row r="66" spans="1:14" ht="15" thickTop="1" x14ac:dyDescent="0.3">
      <c r="A66" s="10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</row>
    <row r="67" spans="1:14" ht="15" thickBot="1" x14ac:dyDescent="0.35">
      <c r="A67" s="10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</row>
    <row r="68" spans="1:14" ht="15" thickTop="1" x14ac:dyDescent="0.3">
      <c r="A68" s="13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</row>
    <row r="69" spans="1:14" x14ac:dyDescent="0.3">
      <c r="A69" s="13" t="s">
        <v>55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</row>
    <row r="70" spans="1:14" x14ac:dyDescent="0.3">
      <c r="A70" s="13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</row>
    <row r="71" spans="1:14" x14ac:dyDescent="0.3">
      <c r="A71" s="14" t="s">
        <v>56</v>
      </c>
      <c r="B71" s="8">
        <v>0</v>
      </c>
      <c r="C71" s="8">
        <v>0</v>
      </c>
      <c r="D71" s="8">
        <v>0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9">
        <v>0</v>
      </c>
    </row>
    <row r="72" spans="1:14" x14ac:dyDescent="0.3">
      <c r="A72" s="14" t="s">
        <v>57</v>
      </c>
      <c r="B72" s="8">
        <v>0</v>
      </c>
      <c r="C72" s="8">
        <v>0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9">
        <v>0</v>
      </c>
    </row>
    <row r="73" spans="1:14" x14ac:dyDescent="0.3">
      <c r="A73" s="14" t="s">
        <v>58</v>
      </c>
      <c r="B73" s="8">
        <v>7740.42</v>
      </c>
      <c r="C73" s="8">
        <v>7067.34</v>
      </c>
      <c r="D73" s="8">
        <v>7067.34</v>
      </c>
      <c r="E73" s="8">
        <v>7403.88</v>
      </c>
      <c r="F73" s="8">
        <v>7740.42</v>
      </c>
      <c r="G73" s="8">
        <v>6730.8</v>
      </c>
      <c r="H73" s="8">
        <v>7740.42</v>
      </c>
      <c r="I73" s="8">
        <v>7403.88</v>
      </c>
      <c r="J73" s="8">
        <v>7067.34</v>
      </c>
      <c r="K73" s="8">
        <v>7740.42</v>
      </c>
      <c r="L73" s="8">
        <v>7067.34</v>
      </c>
      <c r="M73" s="8">
        <v>7403.88</v>
      </c>
      <c r="N73" s="9">
        <v>88173.48</v>
      </c>
    </row>
    <row r="74" spans="1:14" x14ac:dyDescent="0.3">
      <c r="A74" s="14" t="s">
        <v>59</v>
      </c>
      <c r="B74" s="8">
        <v>0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9">
        <v>0</v>
      </c>
    </row>
    <row r="75" spans="1:14" x14ac:dyDescent="0.3">
      <c r="A75" s="14" t="s">
        <v>60</v>
      </c>
      <c r="B75" s="8">
        <v>0</v>
      </c>
      <c r="C75" s="8">
        <v>0</v>
      </c>
      <c r="D75" s="8">
        <v>0</v>
      </c>
      <c r="E75" s="8">
        <v>0</v>
      </c>
      <c r="F75" s="8">
        <v>0</v>
      </c>
      <c r="G75" s="8">
        <v>0</v>
      </c>
      <c r="H75" s="8">
        <v>0</v>
      </c>
      <c r="I75" s="8">
        <v>0</v>
      </c>
      <c r="J75" s="8">
        <v>0</v>
      </c>
      <c r="K75" s="8">
        <v>0</v>
      </c>
      <c r="L75" s="8">
        <v>0</v>
      </c>
      <c r="M75" s="8">
        <v>0</v>
      </c>
      <c r="N75" s="9">
        <v>0</v>
      </c>
    </row>
    <row r="76" spans="1:14" x14ac:dyDescent="0.3">
      <c r="A76" s="10" t="s">
        <v>61</v>
      </c>
      <c r="B76" s="11">
        <v>7740.42</v>
      </c>
      <c r="C76" s="11">
        <v>7067.34</v>
      </c>
      <c r="D76" s="11">
        <v>7067.34</v>
      </c>
      <c r="E76" s="11">
        <v>7403.88</v>
      </c>
      <c r="F76" s="11">
        <v>7740.42</v>
      </c>
      <c r="G76" s="11">
        <v>6730.8</v>
      </c>
      <c r="H76" s="11">
        <v>7740.42</v>
      </c>
      <c r="I76" s="11">
        <v>7403.88</v>
      </c>
      <c r="J76" s="11">
        <v>7067.34</v>
      </c>
      <c r="K76" s="11">
        <v>7740.42</v>
      </c>
      <c r="L76" s="11">
        <v>7067.34</v>
      </c>
      <c r="M76" s="11">
        <v>7403.88</v>
      </c>
      <c r="N76" s="11">
        <v>88173.48</v>
      </c>
    </row>
    <row r="77" spans="1:14" x14ac:dyDescent="0.3">
      <c r="A77" s="13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</row>
    <row r="78" spans="1:14" x14ac:dyDescent="0.3">
      <c r="A78" s="14" t="s">
        <v>62</v>
      </c>
      <c r="B78" s="8">
        <v>212.5</v>
      </c>
      <c r="C78" s="8">
        <v>255</v>
      </c>
      <c r="D78" s="8">
        <v>510</v>
      </c>
      <c r="E78" s="8">
        <v>791.4</v>
      </c>
      <c r="F78" s="8">
        <v>510</v>
      </c>
      <c r="G78" s="8">
        <v>255</v>
      </c>
      <c r="H78" s="8">
        <v>255</v>
      </c>
      <c r="I78" s="8">
        <v>340</v>
      </c>
      <c r="J78" s="8">
        <v>774.4</v>
      </c>
      <c r="K78" s="8">
        <v>255</v>
      </c>
      <c r="L78" s="8">
        <v>255</v>
      </c>
      <c r="M78" s="8">
        <v>255</v>
      </c>
      <c r="N78" s="9">
        <v>4668.3</v>
      </c>
    </row>
    <row r="79" spans="1:14" x14ac:dyDescent="0.3">
      <c r="A79" s="14" t="s">
        <v>63</v>
      </c>
      <c r="B79" s="8">
        <v>2552.1</v>
      </c>
      <c r="C79" s="8">
        <v>2552.1</v>
      </c>
      <c r="D79" s="8">
        <v>2552.1</v>
      </c>
      <c r="E79" s="8">
        <v>2552.1</v>
      </c>
      <c r="F79" s="8">
        <v>2552.1</v>
      </c>
      <c r="G79" s="8">
        <v>2552.1</v>
      </c>
      <c r="H79" s="8">
        <v>2552.1</v>
      </c>
      <c r="I79" s="8">
        <v>2552.1</v>
      </c>
      <c r="J79" s="8">
        <v>2552.1</v>
      </c>
      <c r="K79" s="8">
        <v>2552.1</v>
      </c>
      <c r="L79" s="8">
        <v>2552.1</v>
      </c>
      <c r="M79" s="8">
        <v>2552.1</v>
      </c>
      <c r="N79" s="9">
        <v>30625.200000000001</v>
      </c>
    </row>
    <row r="80" spans="1:14" x14ac:dyDescent="0.3">
      <c r="A80" s="14" t="s">
        <v>24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</row>
    <row r="81" spans="1:14" x14ac:dyDescent="0.3">
      <c r="A81" s="10" t="s">
        <v>64</v>
      </c>
      <c r="B81" s="11">
        <v>2764.6</v>
      </c>
      <c r="C81" s="11">
        <v>2807.1</v>
      </c>
      <c r="D81" s="11">
        <v>3062.1</v>
      </c>
      <c r="E81" s="11">
        <v>3343.5</v>
      </c>
      <c r="F81" s="11">
        <v>3062.1</v>
      </c>
      <c r="G81" s="11">
        <v>2807.1</v>
      </c>
      <c r="H81" s="11">
        <v>2807.1</v>
      </c>
      <c r="I81" s="11">
        <v>2892.1</v>
      </c>
      <c r="J81" s="11">
        <v>3326.5</v>
      </c>
      <c r="K81" s="11">
        <v>2807.1</v>
      </c>
      <c r="L81" s="11">
        <v>2807.1</v>
      </c>
      <c r="M81" s="11">
        <v>2807.1</v>
      </c>
      <c r="N81" s="11">
        <v>35293.5</v>
      </c>
    </row>
    <row r="82" spans="1:14" x14ac:dyDescent="0.3">
      <c r="A82" s="13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</row>
    <row r="83" spans="1:14" x14ac:dyDescent="0.3">
      <c r="A83" s="14" t="s">
        <v>65</v>
      </c>
      <c r="B83" s="8">
        <v>5547.05</v>
      </c>
      <c r="C83" s="8">
        <v>5229.88</v>
      </c>
      <c r="D83" s="8">
        <v>4847.74</v>
      </c>
      <c r="E83" s="8">
        <v>5432.64</v>
      </c>
      <c r="F83" s="8">
        <v>6437.7</v>
      </c>
      <c r="G83" s="8">
        <v>6430</v>
      </c>
      <c r="H83" s="8">
        <v>7152.51</v>
      </c>
      <c r="I83" s="8">
        <v>6815.5</v>
      </c>
      <c r="J83" s="8">
        <v>5308.17</v>
      </c>
      <c r="K83" s="8">
        <v>5368.62</v>
      </c>
      <c r="L83" s="8">
        <v>5042.17</v>
      </c>
      <c r="M83" s="8">
        <v>5008.5</v>
      </c>
      <c r="N83" s="9">
        <v>68620.479999999996</v>
      </c>
    </row>
    <row r="84" spans="1:14" x14ac:dyDescent="0.3">
      <c r="A84" s="14" t="s">
        <v>66</v>
      </c>
      <c r="B84" s="8">
        <v>8.5</v>
      </c>
      <c r="C84" s="8">
        <v>431.3</v>
      </c>
      <c r="D84" s="8">
        <v>20.399999999999999</v>
      </c>
      <c r="E84" s="8">
        <v>241.65</v>
      </c>
      <c r="F84" s="8">
        <v>20.399999999999999</v>
      </c>
      <c r="G84" s="8">
        <v>10.199999999999999</v>
      </c>
      <c r="H84" s="8">
        <v>423.64</v>
      </c>
      <c r="I84" s="8">
        <v>35.6</v>
      </c>
      <c r="J84" s="8">
        <v>30.98</v>
      </c>
      <c r="K84" s="8">
        <v>453.17</v>
      </c>
      <c r="L84" s="8">
        <v>10.199999999999999</v>
      </c>
      <c r="M84" s="8">
        <v>10.199999999999999</v>
      </c>
      <c r="N84" s="9">
        <v>1696.24</v>
      </c>
    </row>
    <row r="85" spans="1:14" x14ac:dyDescent="0.3">
      <c r="A85" s="14" t="s">
        <v>67</v>
      </c>
      <c r="B85" s="8">
        <v>23.62</v>
      </c>
      <c r="C85" s="8">
        <v>234</v>
      </c>
      <c r="D85" s="8">
        <v>787.77</v>
      </c>
      <c r="E85" s="8">
        <v>151.03</v>
      </c>
      <c r="F85" s="8">
        <v>376.96</v>
      </c>
      <c r="G85" s="8">
        <v>160.88</v>
      </c>
      <c r="H85" s="8">
        <v>397.5</v>
      </c>
      <c r="I85" s="8">
        <v>270</v>
      </c>
      <c r="J85" s="8">
        <v>48.75</v>
      </c>
      <c r="K85" s="8">
        <v>63.75</v>
      </c>
      <c r="L85" s="8">
        <v>52.5</v>
      </c>
      <c r="M85" s="8">
        <v>202.5</v>
      </c>
      <c r="N85" s="9">
        <v>2769.26</v>
      </c>
    </row>
    <row r="86" spans="1:14" x14ac:dyDescent="0.3">
      <c r="A86" s="14" t="s">
        <v>68</v>
      </c>
      <c r="B86" s="8">
        <v>0</v>
      </c>
      <c r="C86" s="8">
        <v>0</v>
      </c>
      <c r="D86" s="8">
        <v>0</v>
      </c>
      <c r="E86" s="8">
        <v>0</v>
      </c>
      <c r="F86" s="8">
        <v>0</v>
      </c>
      <c r="G86" s="8">
        <v>0</v>
      </c>
      <c r="H86" s="8">
        <v>0</v>
      </c>
      <c r="I86" s="8">
        <v>0</v>
      </c>
      <c r="J86" s="8">
        <v>0</v>
      </c>
      <c r="K86" s="8">
        <v>0</v>
      </c>
      <c r="L86" s="8">
        <v>0</v>
      </c>
      <c r="M86" s="8">
        <v>0</v>
      </c>
      <c r="N86" s="9">
        <v>0</v>
      </c>
    </row>
    <row r="87" spans="1:14" x14ac:dyDescent="0.3">
      <c r="A87" s="10" t="s">
        <v>69</v>
      </c>
      <c r="B87" s="11">
        <v>5579.17</v>
      </c>
      <c r="C87" s="11">
        <v>5895.18</v>
      </c>
      <c r="D87" s="11">
        <v>5655.91</v>
      </c>
      <c r="E87" s="11">
        <v>5825.32</v>
      </c>
      <c r="F87" s="11">
        <v>6835.0599999999995</v>
      </c>
      <c r="G87" s="11">
        <v>6601.08</v>
      </c>
      <c r="H87" s="11">
        <v>7973.6500000000005</v>
      </c>
      <c r="I87" s="11">
        <v>7121.1</v>
      </c>
      <c r="J87" s="11">
        <v>5387.9</v>
      </c>
      <c r="K87" s="11">
        <v>5885.54</v>
      </c>
      <c r="L87" s="11">
        <v>5104.87</v>
      </c>
      <c r="M87" s="11">
        <v>5221.2</v>
      </c>
      <c r="N87" s="11">
        <v>73085.98</v>
      </c>
    </row>
    <row r="88" spans="1:14" x14ac:dyDescent="0.3">
      <c r="A88" s="13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</row>
    <row r="89" spans="1:14" x14ac:dyDescent="0.3">
      <c r="A89" s="10" t="s">
        <v>70</v>
      </c>
      <c r="B89" s="16">
        <v>16084.19</v>
      </c>
      <c r="C89" s="16">
        <v>15769.62</v>
      </c>
      <c r="D89" s="16">
        <v>15785.35</v>
      </c>
      <c r="E89" s="16">
        <v>16572.7</v>
      </c>
      <c r="F89" s="16">
        <v>17637.580000000002</v>
      </c>
      <c r="G89" s="16">
        <v>16138.98</v>
      </c>
      <c r="H89" s="16">
        <v>18521.170000000002</v>
      </c>
      <c r="I89" s="16">
        <v>17417.080000000002</v>
      </c>
      <c r="J89" s="16">
        <v>15781.74</v>
      </c>
      <c r="K89" s="16">
        <v>16433.060000000001</v>
      </c>
      <c r="L89" s="16">
        <v>14979.310000000001</v>
      </c>
      <c r="M89" s="16">
        <v>15432.18</v>
      </c>
      <c r="N89" s="16">
        <v>196552.95999999999</v>
      </c>
    </row>
    <row r="90" spans="1:14" x14ac:dyDescent="0.3">
      <c r="A90" s="13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</row>
    <row r="91" spans="1:14" x14ac:dyDescent="0.3">
      <c r="A91" s="14" t="s">
        <v>71</v>
      </c>
      <c r="B91" s="8">
        <v>0</v>
      </c>
      <c r="C91" s="8">
        <v>0</v>
      </c>
      <c r="D91" s="8">
        <v>0</v>
      </c>
      <c r="E91" s="8">
        <v>0</v>
      </c>
      <c r="F91" s="8">
        <v>0</v>
      </c>
      <c r="G91" s="8">
        <v>0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  <c r="M91" s="8">
        <v>0</v>
      </c>
      <c r="N91" s="9">
        <v>0</v>
      </c>
    </row>
    <row r="92" spans="1:14" x14ac:dyDescent="0.3">
      <c r="A92" s="14" t="s">
        <v>72</v>
      </c>
      <c r="B92" s="8">
        <v>0</v>
      </c>
      <c r="C92" s="8">
        <v>0</v>
      </c>
      <c r="D92" s="8">
        <v>0</v>
      </c>
      <c r="E92" s="8">
        <v>0</v>
      </c>
      <c r="F92" s="8">
        <v>0</v>
      </c>
      <c r="G92" s="8">
        <v>0</v>
      </c>
      <c r="H92" s="8">
        <v>0</v>
      </c>
      <c r="I92" s="8">
        <v>0</v>
      </c>
      <c r="J92" s="8">
        <v>0</v>
      </c>
      <c r="K92" s="8">
        <v>0</v>
      </c>
      <c r="L92" s="8">
        <v>0</v>
      </c>
      <c r="M92" s="8">
        <v>0</v>
      </c>
      <c r="N92" s="9">
        <v>0</v>
      </c>
    </row>
    <row r="93" spans="1:14" x14ac:dyDescent="0.3">
      <c r="A93" s="14" t="s">
        <v>73</v>
      </c>
      <c r="B93" s="8">
        <v>0</v>
      </c>
      <c r="C93" s="8">
        <v>0</v>
      </c>
      <c r="D93" s="8">
        <v>0</v>
      </c>
      <c r="E93" s="8">
        <v>0</v>
      </c>
      <c r="F93" s="8">
        <v>0</v>
      </c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9">
        <v>0</v>
      </c>
    </row>
    <row r="94" spans="1:14" x14ac:dyDescent="0.3">
      <c r="A94" s="14" t="s">
        <v>74</v>
      </c>
      <c r="B94" s="8">
        <v>0</v>
      </c>
      <c r="C94" s="8">
        <v>0</v>
      </c>
      <c r="D94" s="8">
        <v>0</v>
      </c>
      <c r="E94" s="8">
        <v>0</v>
      </c>
      <c r="F94" s="8">
        <v>0</v>
      </c>
      <c r="G94" s="8">
        <v>0</v>
      </c>
      <c r="H94" s="8">
        <v>0</v>
      </c>
      <c r="I94" s="8">
        <v>0</v>
      </c>
      <c r="J94" s="8">
        <v>0</v>
      </c>
      <c r="K94" s="8">
        <v>0</v>
      </c>
      <c r="L94" s="8">
        <v>0</v>
      </c>
      <c r="M94" s="8">
        <v>0</v>
      </c>
      <c r="N94" s="9">
        <v>0</v>
      </c>
    </row>
    <row r="95" spans="1:14" x14ac:dyDescent="0.3">
      <c r="A95" s="14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9"/>
    </row>
    <row r="96" spans="1:14" x14ac:dyDescent="0.3">
      <c r="A96" s="14" t="s">
        <v>75</v>
      </c>
      <c r="B96" s="8">
        <v>4583.76</v>
      </c>
      <c r="C96" s="8">
        <v>2538.35</v>
      </c>
      <c r="D96" s="8">
        <v>3378.35</v>
      </c>
      <c r="E96" s="8">
        <v>6282.95</v>
      </c>
      <c r="F96" s="8">
        <v>5938.38</v>
      </c>
      <c r="G96" s="8">
        <v>5051.84</v>
      </c>
      <c r="H96" s="8">
        <v>3470.38</v>
      </c>
      <c r="I96" s="8">
        <v>4380.2299999999996</v>
      </c>
      <c r="J96" s="8">
        <v>2957.27</v>
      </c>
      <c r="K96" s="8">
        <v>10649.97</v>
      </c>
      <c r="L96" s="8">
        <v>3819</v>
      </c>
      <c r="M96" s="8">
        <v>3049.12</v>
      </c>
      <c r="N96" s="9">
        <v>56099.6</v>
      </c>
    </row>
    <row r="97" spans="1:14" x14ac:dyDescent="0.3">
      <c r="A97" s="14" t="s">
        <v>24</v>
      </c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</row>
    <row r="98" spans="1:14" x14ac:dyDescent="0.3">
      <c r="A98" s="10" t="s">
        <v>76</v>
      </c>
      <c r="B98" s="11">
        <v>4583.76</v>
      </c>
      <c r="C98" s="11">
        <v>2538.35</v>
      </c>
      <c r="D98" s="11">
        <v>3378.35</v>
      </c>
      <c r="E98" s="11">
        <v>6282.95</v>
      </c>
      <c r="F98" s="11">
        <v>5938.38</v>
      </c>
      <c r="G98" s="11">
        <v>5051.84</v>
      </c>
      <c r="H98" s="11">
        <v>3470.38</v>
      </c>
      <c r="I98" s="11">
        <v>4380.2299999999996</v>
      </c>
      <c r="J98" s="11">
        <v>2957.27</v>
      </c>
      <c r="K98" s="11">
        <v>10649.97</v>
      </c>
      <c r="L98" s="11">
        <v>3819</v>
      </c>
      <c r="M98" s="11">
        <v>3049.12</v>
      </c>
      <c r="N98" s="11">
        <v>56099.6</v>
      </c>
    </row>
    <row r="99" spans="1:14" x14ac:dyDescent="0.3">
      <c r="A99" s="13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</row>
    <row r="100" spans="1:14" x14ac:dyDescent="0.3">
      <c r="A100" s="14" t="s">
        <v>77</v>
      </c>
      <c r="B100" s="8">
        <v>62182.87</v>
      </c>
      <c r="C100" s="8">
        <v>55352.41</v>
      </c>
      <c r="D100" s="8">
        <v>57047.49</v>
      </c>
      <c r="E100" s="8">
        <v>61923.58</v>
      </c>
      <c r="F100" s="8">
        <v>66512</v>
      </c>
      <c r="G100" s="8">
        <v>59054.81</v>
      </c>
      <c r="H100" s="8">
        <v>70744.62</v>
      </c>
      <c r="I100" s="8">
        <v>66259.22</v>
      </c>
      <c r="J100" s="8">
        <v>61164.47</v>
      </c>
      <c r="K100" s="8">
        <v>64454.91</v>
      </c>
      <c r="L100" s="8">
        <v>54084.86</v>
      </c>
      <c r="M100" s="8">
        <v>60019.54</v>
      </c>
      <c r="N100" s="9">
        <v>738800.78</v>
      </c>
    </row>
    <row r="101" spans="1:14" x14ac:dyDescent="0.3">
      <c r="A101" s="14" t="s">
        <v>78</v>
      </c>
      <c r="B101" s="8">
        <v>17234.900000000001</v>
      </c>
      <c r="C101" s="8">
        <v>17240.57</v>
      </c>
      <c r="D101" s="8">
        <v>18271.18</v>
      </c>
      <c r="E101" s="8">
        <v>20994.17</v>
      </c>
      <c r="F101" s="8">
        <v>26378.68</v>
      </c>
      <c r="G101" s="8">
        <v>28392.83</v>
      </c>
      <c r="H101" s="8">
        <v>24680.23</v>
      </c>
      <c r="I101" s="8">
        <v>26608.07</v>
      </c>
      <c r="J101" s="8">
        <v>25656.09</v>
      </c>
      <c r="K101" s="8">
        <v>24616.09</v>
      </c>
      <c r="L101" s="8">
        <v>20250.62</v>
      </c>
      <c r="M101" s="8">
        <v>17177.71</v>
      </c>
      <c r="N101" s="9">
        <v>267501.14</v>
      </c>
    </row>
    <row r="102" spans="1:14" x14ac:dyDescent="0.3">
      <c r="A102" s="14" t="s">
        <v>24</v>
      </c>
      <c r="B102" s="8">
        <v>0</v>
      </c>
      <c r="C102" s="8">
        <v>0</v>
      </c>
      <c r="D102" s="8">
        <v>0</v>
      </c>
      <c r="E102" s="8">
        <v>0</v>
      </c>
      <c r="F102" s="8">
        <v>0</v>
      </c>
      <c r="G102" s="8">
        <v>0</v>
      </c>
      <c r="H102" s="8">
        <v>0</v>
      </c>
      <c r="I102" s="8">
        <v>0</v>
      </c>
      <c r="J102" s="8">
        <v>0</v>
      </c>
      <c r="K102" s="8">
        <v>0</v>
      </c>
      <c r="L102" s="8">
        <v>0</v>
      </c>
      <c r="M102" s="8">
        <v>0</v>
      </c>
      <c r="N102" s="9">
        <v>0</v>
      </c>
    </row>
    <row r="103" spans="1:14" x14ac:dyDescent="0.3">
      <c r="A103" s="14" t="s">
        <v>79</v>
      </c>
      <c r="B103" s="8">
        <v>1029.6199999999999</v>
      </c>
      <c r="C103" s="8">
        <v>1307.7</v>
      </c>
      <c r="D103" s="8">
        <v>944.55</v>
      </c>
      <c r="E103" s="8">
        <v>1055.23</v>
      </c>
      <c r="F103" s="8">
        <v>1452.37</v>
      </c>
      <c r="G103" s="8">
        <v>1314.55</v>
      </c>
      <c r="H103" s="8">
        <v>1941.25</v>
      </c>
      <c r="I103" s="8">
        <v>1287.05</v>
      </c>
      <c r="J103" s="8">
        <v>1411.71</v>
      </c>
      <c r="K103" s="8">
        <v>1531.28</v>
      </c>
      <c r="L103" s="8">
        <v>1510.87</v>
      </c>
      <c r="M103" s="8">
        <v>1124.95</v>
      </c>
      <c r="N103" s="9">
        <v>15911.13</v>
      </c>
    </row>
    <row r="104" spans="1:14" x14ac:dyDescent="0.3">
      <c r="A104" s="14" t="s">
        <v>80</v>
      </c>
      <c r="B104" s="8">
        <v>1777.16</v>
      </c>
      <c r="C104" s="8">
        <v>1496.23</v>
      </c>
      <c r="D104" s="8">
        <v>1186.5999999999999</v>
      </c>
      <c r="E104" s="8">
        <v>1326.57</v>
      </c>
      <c r="F104" s="8">
        <v>1795.13</v>
      </c>
      <c r="G104" s="8">
        <v>2293.7399999999998</v>
      </c>
      <c r="H104" s="8">
        <v>956.45</v>
      </c>
      <c r="I104" s="8">
        <v>2310.39</v>
      </c>
      <c r="J104" s="8">
        <v>573.88</v>
      </c>
      <c r="K104" s="8">
        <v>3375.51</v>
      </c>
      <c r="L104" s="8">
        <v>743.17</v>
      </c>
      <c r="M104" s="8">
        <v>693.35</v>
      </c>
      <c r="N104" s="9">
        <v>18528.18</v>
      </c>
    </row>
    <row r="105" spans="1:14" x14ac:dyDescent="0.3">
      <c r="A105" s="10" t="s">
        <v>81</v>
      </c>
      <c r="B105" s="11">
        <v>82224.55</v>
      </c>
      <c r="C105" s="11">
        <v>75396.91</v>
      </c>
      <c r="D105" s="11">
        <v>77449.820000000007</v>
      </c>
      <c r="E105" s="11">
        <v>85299.55</v>
      </c>
      <c r="F105" s="11">
        <v>96138.18</v>
      </c>
      <c r="G105" s="11">
        <v>91055.930000000008</v>
      </c>
      <c r="H105" s="11">
        <v>98322.549999999988</v>
      </c>
      <c r="I105" s="11">
        <v>96464.73000000001</v>
      </c>
      <c r="J105" s="11">
        <v>88806.150000000009</v>
      </c>
      <c r="K105" s="11">
        <v>93977.79</v>
      </c>
      <c r="L105" s="11">
        <v>76589.51999999999</v>
      </c>
      <c r="M105" s="11">
        <v>79015.55</v>
      </c>
      <c r="N105" s="11">
        <v>1040741.2300000001</v>
      </c>
    </row>
    <row r="106" spans="1:14" x14ac:dyDescent="0.3">
      <c r="A106" s="13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</row>
    <row r="107" spans="1:14" x14ac:dyDescent="0.3">
      <c r="A107" s="14" t="s">
        <v>82</v>
      </c>
      <c r="B107" s="8">
        <v>6126.36</v>
      </c>
      <c r="C107" s="8">
        <v>5111.3999999999996</v>
      </c>
      <c r="D107" s="8">
        <v>5111.3999999999996</v>
      </c>
      <c r="E107" s="8">
        <v>5354.8</v>
      </c>
      <c r="F107" s="8">
        <v>5598.2</v>
      </c>
      <c r="G107" s="8">
        <v>4893.1400000000003</v>
      </c>
      <c r="H107" s="8">
        <v>6116.08</v>
      </c>
      <c r="I107" s="8">
        <v>5465.42</v>
      </c>
      <c r="J107" s="8">
        <v>5216.99</v>
      </c>
      <c r="K107" s="8">
        <v>5713.84</v>
      </c>
      <c r="L107" s="8">
        <v>5216.99</v>
      </c>
      <c r="M107" s="8">
        <v>5465.42</v>
      </c>
      <c r="N107" s="9">
        <v>65390.04</v>
      </c>
    </row>
    <row r="108" spans="1:14" x14ac:dyDescent="0.3">
      <c r="A108" s="14" t="s">
        <v>83</v>
      </c>
      <c r="B108" s="8">
        <v>1318.42</v>
      </c>
      <c r="C108" s="8">
        <v>1318.42</v>
      </c>
      <c r="D108" s="8">
        <v>1318.42</v>
      </c>
      <c r="E108" s="8">
        <v>1318.42</v>
      </c>
      <c r="F108" s="8">
        <v>1318.42</v>
      </c>
      <c r="G108" s="8">
        <v>1318.42</v>
      </c>
      <c r="H108" s="8">
        <v>1318.42</v>
      </c>
      <c r="I108" s="8">
        <v>1318.42</v>
      </c>
      <c r="J108" s="8">
        <v>1318.42</v>
      </c>
      <c r="K108" s="8">
        <v>1318.42</v>
      </c>
      <c r="L108" s="8">
        <v>2318.42</v>
      </c>
      <c r="M108" s="8">
        <v>2318.42</v>
      </c>
      <c r="N108" s="9">
        <v>17821.04</v>
      </c>
    </row>
    <row r="109" spans="1:14" x14ac:dyDescent="0.3">
      <c r="A109" s="10" t="s">
        <v>84</v>
      </c>
      <c r="B109" s="11">
        <v>89669.33</v>
      </c>
      <c r="C109" s="11">
        <v>81826.73</v>
      </c>
      <c r="D109" s="11">
        <v>83879.64</v>
      </c>
      <c r="E109" s="11">
        <v>91972.77</v>
      </c>
      <c r="F109" s="11">
        <v>103054.79999999999</v>
      </c>
      <c r="G109" s="11">
        <v>97267.49</v>
      </c>
      <c r="H109" s="11">
        <v>105757.04999999999</v>
      </c>
      <c r="I109" s="11">
        <v>103248.57</v>
      </c>
      <c r="J109" s="11">
        <v>95341.560000000012</v>
      </c>
      <c r="K109" s="11">
        <v>101010.04999999999</v>
      </c>
      <c r="L109" s="11">
        <v>84124.93</v>
      </c>
      <c r="M109" s="11">
        <v>86799.39</v>
      </c>
      <c r="N109" s="11">
        <v>1123952.31</v>
      </c>
    </row>
    <row r="110" spans="1:14" x14ac:dyDescent="0.3">
      <c r="A110" s="13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</row>
    <row r="111" spans="1:14" ht="15" thickBot="1" x14ac:dyDescent="0.35">
      <c r="A111" s="10" t="s">
        <v>85</v>
      </c>
      <c r="B111" s="20">
        <v>110337.28</v>
      </c>
      <c r="C111" s="20">
        <v>100134.7</v>
      </c>
      <c r="D111" s="20">
        <v>103043.34</v>
      </c>
      <c r="E111" s="20">
        <v>114828.42000000001</v>
      </c>
      <c r="F111" s="20">
        <v>126630.76</v>
      </c>
      <c r="G111" s="20">
        <v>118458.31</v>
      </c>
      <c r="H111" s="20">
        <v>127748.59999999999</v>
      </c>
      <c r="I111" s="20">
        <v>125045.88</v>
      </c>
      <c r="J111" s="20">
        <v>114080.57</v>
      </c>
      <c r="K111" s="20">
        <v>128093.07999999999</v>
      </c>
      <c r="L111" s="20">
        <v>102923.23999999999</v>
      </c>
      <c r="M111" s="20">
        <v>105280.69</v>
      </c>
      <c r="N111" s="20">
        <v>1376604.87</v>
      </c>
    </row>
    <row r="112" spans="1:14" x14ac:dyDescent="0.3">
      <c r="A112" s="13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</row>
    <row r="113" spans="1:14" x14ac:dyDescent="0.3">
      <c r="A113" s="13" t="s">
        <v>86</v>
      </c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</row>
    <row r="114" spans="1:14" x14ac:dyDescent="0.3">
      <c r="A114" s="13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</row>
    <row r="115" spans="1:14" x14ac:dyDescent="0.3">
      <c r="A115" s="14" t="s">
        <v>87</v>
      </c>
      <c r="B115" s="8">
        <v>9068.0300000000007</v>
      </c>
      <c r="C115" s="8">
        <v>8410.52</v>
      </c>
      <c r="D115" s="8">
        <v>7260.44</v>
      </c>
      <c r="E115" s="8">
        <v>8386.51</v>
      </c>
      <c r="F115" s="8">
        <v>9192.18</v>
      </c>
      <c r="G115" s="8">
        <v>8436.1299999999992</v>
      </c>
      <c r="H115" s="8">
        <v>10289.17</v>
      </c>
      <c r="I115" s="8">
        <v>8567.69</v>
      </c>
      <c r="J115" s="8">
        <v>7657.03</v>
      </c>
      <c r="K115" s="8">
        <v>6970.51</v>
      </c>
      <c r="L115" s="8">
        <v>4948.16</v>
      </c>
      <c r="M115" s="8">
        <v>3554.81</v>
      </c>
      <c r="N115" s="9">
        <v>92741.18</v>
      </c>
    </row>
    <row r="116" spans="1:14" x14ac:dyDescent="0.3">
      <c r="A116" s="14" t="s">
        <v>88</v>
      </c>
      <c r="B116" s="8">
        <v>5507.94</v>
      </c>
      <c r="C116" s="8">
        <v>4996.3900000000003</v>
      </c>
      <c r="D116" s="8">
        <v>5535.72</v>
      </c>
      <c r="E116" s="8">
        <v>5813.8</v>
      </c>
      <c r="F116" s="8">
        <v>6028.11</v>
      </c>
      <c r="G116" s="8">
        <v>5612.32</v>
      </c>
      <c r="H116" s="8">
        <v>6194.66</v>
      </c>
      <c r="I116" s="8">
        <v>5751.07</v>
      </c>
      <c r="J116" s="8">
        <v>6441.04</v>
      </c>
      <c r="K116" s="8">
        <v>6043.45</v>
      </c>
      <c r="L116" s="8">
        <v>5933.7</v>
      </c>
      <c r="M116" s="8">
        <v>5396.7</v>
      </c>
      <c r="N116" s="9">
        <v>69254.899999999994</v>
      </c>
    </row>
    <row r="117" spans="1:14" x14ac:dyDescent="0.3">
      <c r="A117" s="14" t="s">
        <v>89</v>
      </c>
      <c r="B117" s="8">
        <v>-255.52</v>
      </c>
      <c r="C117" s="8">
        <v>-262.18</v>
      </c>
      <c r="D117" s="8">
        <v>-267.17</v>
      </c>
      <c r="E117" s="8">
        <v>-551.67999999999995</v>
      </c>
      <c r="F117" s="8">
        <v>-527.39</v>
      </c>
      <c r="G117" s="8">
        <v>-529.04999999999995</v>
      </c>
      <c r="H117" s="8">
        <v>-509.17</v>
      </c>
      <c r="I117" s="8">
        <v>-536.9</v>
      </c>
      <c r="J117" s="8">
        <v>-553.75</v>
      </c>
      <c r="K117" s="8">
        <v>-552.91</v>
      </c>
      <c r="L117" s="8">
        <v>-516.85</v>
      </c>
      <c r="M117" s="8">
        <v>-519.71</v>
      </c>
      <c r="N117" s="9">
        <v>-5582.28</v>
      </c>
    </row>
    <row r="118" spans="1:14" x14ac:dyDescent="0.3">
      <c r="A118" s="14" t="s">
        <v>90</v>
      </c>
      <c r="B118" s="8">
        <v>1719.84</v>
      </c>
      <c r="C118" s="8">
        <v>555.49</v>
      </c>
      <c r="D118" s="8">
        <v>1678.58</v>
      </c>
      <c r="E118" s="8">
        <v>-512.24</v>
      </c>
      <c r="F118" s="8">
        <v>1648.71</v>
      </c>
      <c r="G118" s="8">
        <v>1203.99</v>
      </c>
      <c r="H118" s="8">
        <v>1496.14</v>
      </c>
      <c r="I118" s="8">
        <v>517.20000000000005</v>
      </c>
      <c r="J118" s="8">
        <v>1234.7</v>
      </c>
      <c r="K118" s="8">
        <v>554.54</v>
      </c>
      <c r="L118" s="8">
        <v>639</v>
      </c>
      <c r="M118" s="8">
        <v>346.19</v>
      </c>
      <c r="N118" s="9">
        <v>11082.14</v>
      </c>
    </row>
    <row r="119" spans="1:14" x14ac:dyDescent="0.3">
      <c r="A119" s="14" t="s">
        <v>91</v>
      </c>
      <c r="B119" s="8">
        <v>0</v>
      </c>
      <c r="C119" s="8">
        <v>0</v>
      </c>
      <c r="D119" s="8">
        <v>0</v>
      </c>
      <c r="E119" s="8">
        <v>0</v>
      </c>
      <c r="F119" s="8">
        <v>0</v>
      </c>
      <c r="G119" s="8">
        <v>0</v>
      </c>
      <c r="H119" s="8">
        <v>0</v>
      </c>
      <c r="I119" s="8">
        <v>0</v>
      </c>
      <c r="J119" s="8">
        <v>0</v>
      </c>
      <c r="K119" s="8">
        <v>0</v>
      </c>
      <c r="L119" s="8">
        <v>0</v>
      </c>
      <c r="M119" s="8">
        <v>0</v>
      </c>
      <c r="N119" s="9">
        <v>0</v>
      </c>
    </row>
    <row r="120" spans="1:14" x14ac:dyDescent="0.3">
      <c r="A120" s="14" t="s">
        <v>92</v>
      </c>
      <c r="B120" s="8">
        <v>1632.67</v>
      </c>
      <c r="C120" s="8">
        <v>303.31</v>
      </c>
      <c r="D120" s="8">
        <v>725.16</v>
      </c>
      <c r="E120" s="8">
        <v>943.03</v>
      </c>
      <c r="F120" s="8">
        <v>419.03</v>
      </c>
      <c r="G120" s="8">
        <v>552.51</v>
      </c>
      <c r="H120" s="8">
        <v>648.09</v>
      </c>
      <c r="I120" s="8">
        <v>1178.3699999999999</v>
      </c>
      <c r="J120" s="8">
        <v>685.74</v>
      </c>
      <c r="K120" s="8">
        <v>1474.39</v>
      </c>
      <c r="L120" s="8">
        <v>329.95</v>
      </c>
      <c r="M120" s="8">
        <v>260.55</v>
      </c>
      <c r="N120" s="9">
        <v>9152.7999999999993</v>
      </c>
    </row>
    <row r="121" spans="1:14" x14ac:dyDescent="0.3">
      <c r="A121" s="14" t="s">
        <v>93</v>
      </c>
      <c r="B121" s="8">
        <v>0</v>
      </c>
      <c r="C121" s="8">
        <v>375</v>
      </c>
      <c r="D121" s="8">
        <v>0</v>
      </c>
      <c r="E121" s="8">
        <v>40.56</v>
      </c>
      <c r="F121" s="8">
        <v>81.12</v>
      </c>
      <c r="G121" s="8">
        <v>121.68</v>
      </c>
      <c r="H121" s="8">
        <v>0</v>
      </c>
      <c r="I121" s="8">
        <v>40.56</v>
      </c>
      <c r="J121" s="8">
        <v>0</v>
      </c>
      <c r="K121" s="8">
        <v>0</v>
      </c>
      <c r="L121" s="8">
        <v>0</v>
      </c>
      <c r="M121" s="8">
        <v>0</v>
      </c>
      <c r="N121" s="9">
        <v>658.92</v>
      </c>
    </row>
    <row r="122" spans="1:14" x14ac:dyDescent="0.3">
      <c r="A122" s="14" t="s">
        <v>94</v>
      </c>
      <c r="B122" s="8">
        <v>0</v>
      </c>
      <c r="C122" s="8">
        <v>0</v>
      </c>
      <c r="D122" s="8">
        <v>45.99</v>
      </c>
      <c r="E122" s="8">
        <v>0</v>
      </c>
      <c r="F122" s="8">
        <v>0</v>
      </c>
      <c r="G122" s="8">
        <v>0</v>
      </c>
      <c r="H122" s="8">
        <v>0</v>
      </c>
      <c r="I122" s="8">
        <v>0</v>
      </c>
      <c r="J122" s="8">
        <v>0</v>
      </c>
      <c r="K122" s="8">
        <v>742.6</v>
      </c>
      <c r="L122" s="8">
        <v>0</v>
      </c>
      <c r="M122" s="8">
        <v>0</v>
      </c>
      <c r="N122" s="9">
        <v>788.59</v>
      </c>
    </row>
    <row r="123" spans="1:14" x14ac:dyDescent="0.3">
      <c r="A123" s="14" t="s">
        <v>95</v>
      </c>
      <c r="B123" s="8">
        <v>267.76</v>
      </c>
      <c r="C123" s="8">
        <v>0</v>
      </c>
      <c r="D123" s="8">
        <v>17.82</v>
      </c>
      <c r="E123" s="8">
        <v>0</v>
      </c>
      <c r="F123" s="8">
        <v>0</v>
      </c>
      <c r="G123" s="8">
        <v>276.10000000000002</v>
      </c>
      <c r="H123" s="8">
        <v>567.84</v>
      </c>
      <c r="I123" s="8">
        <v>1253.75</v>
      </c>
      <c r="J123" s="8">
        <v>0</v>
      </c>
      <c r="K123" s="8">
        <v>50.3</v>
      </c>
      <c r="L123" s="8">
        <v>8.3000000000000007</v>
      </c>
      <c r="M123" s="8">
        <v>1221.83</v>
      </c>
      <c r="N123" s="9">
        <v>3663.7</v>
      </c>
    </row>
    <row r="124" spans="1:14" x14ac:dyDescent="0.3">
      <c r="A124" s="10" t="s">
        <v>96</v>
      </c>
      <c r="B124" s="11">
        <v>17940.719999999998</v>
      </c>
      <c r="C124" s="11">
        <v>14378.529999999999</v>
      </c>
      <c r="D124" s="11">
        <v>14996.539999999999</v>
      </c>
      <c r="E124" s="11">
        <v>14119.980000000001</v>
      </c>
      <c r="F124" s="11">
        <v>16841.759999999998</v>
      </c>
      <c r="G124" s="11">
        <v>15673.68</v>
      </c>
      <c r="H124" s="11">
        <v>18686.730000000003</v>
      </c>
      <c r="I124" s="11">
        <v>16771.739999999998</v>
      </c>
      <c r="J124" s="11">
        <v>15464.76</v>
      </c>
      <c r="K124" s="11">
        <v>15282.88</v>
      </c>
      <c r="L124" s="11">
        <v>11342.26</v>
      </c>
      <c r="M124" s="11">
        <v>10260.369999999999</v>
      </c>
      <c r="N124" s="11">
        <v>181759.95</v>
      </c>
    </row>
    <row r="125" spans="1:14" x14ac:dyDescent="0.3">
      <c r="A125" s="10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</row>
    <row r="126" spans="1:14" ht="15" thickBot="1" x14ac:dyDescent="0.35">
      <c r="A126" s="10" t="s">
        <v>97</v>
      </c>
      <c r="B126" s="20">
        <v>128278</v>
      </c>
      <c r="C126" s="20">
        <v>114513.23</v>
      </c>
      <c r="D126" s="20">
        <v>118039.87999999999</v>
      </c>
      <c r="E126" s="20">
        <v>128948.40000000001</v>
      </c>
      <c r="F126" s="20">
        <v>143472.51999999999</v>
      </c>
      <c r="G126" s="20">
        <v>134131.99</v>
      </c>
      <c r="H126" s="20">
        <v>146435.32999999999</v>
      </c>
      <c r="I126" s="20">
        <v>141817.62</v>
      </c>
      <c r="J126" s="20">
        <v>129545.33</v>
      </c>
      <c r="K126" s="20">
        <v>143375.96</v>
      </c>
      <c r="L126" s="20">
        <v>114265.49999999999</v>
      </c>
      <c r="M126" s="20">
        <v>115541.06</v>
      </c>
      <c r="N126" s="20">
        <v>1558364.82</v>
      </c>
    </row>
    <row r="127" spans="1:14" x14ac:dyDescent="0.3">
      <c r="A127" s="13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</row>
    <row r="128" spans="1:14" x14ac:dyDescent="0.3">
      <c r="A128" s="13" t="s">
        <v>98</v>
      </c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</row>
    <row r="129" spans="1:14" x14ac:dyDescent="0.3">
      <c r="A129" s="13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</row>
    <row r="130" spans="1:14" x14ac:dyDescent="0.3">
      <c r="A130" s="14" t="s">
        <v>99</v>
      </c>
      <c r="B130" s="8">
        <v>12874.98</v>
      </c>
      <c r="C130" s="8">
        <v>12192.06</v>
      </c>
      <c r="D130" s="8">
        <v>7511.05</v>
      </c>
      <c r="E130" s="8">
        <v>8069.1</v>
      </c>
      <c r="F130" s="8">
        <v>26825.66</v>
      </c>
      <c r="G130" s="8">
        <v>14735.67</v>
      </c>
      <c r="H130" s="8">
        <v>9359.4599999999991</v>
      </c>
      <c r="I130" s="8">
        <v>24325.5</v>
      </c>
      <c r="J130" s="8">
        <v>13286.55</v>
      </c>
      <c r="K130" s="8">
        <v>20693.34</v>
      </c>
      <c r="L130" s="8">
        <v>-2553.5500000000002</v>
      </c>
      <c r="M130" s="8">
        <v>13806.96</v>
      </c>
      <c r="N130" s="9">
        <v>161126.78</v>
      </c>
    </row>
    <row r="131" spans="1:14" x14ac:dyDescent="0.3">
      <c r="A131" s="14" t="s">
        <v>100</v>
      </c>
      <c r="B131" s="8">
        <v>1065.27</v>
      </c>
      <c r="C131" s="8">
        <v>1095.45</v>
      </c>
      <c r="D131" s="8">
        <v>716.33</v>
      </c>
      <c r="E131" s="8">
        <v>702.44</v>
      </c>
      <c r="F131" s="8">
        <v>1886.37</v>
      </c>
      <c r="G131" s="8">
        <v>1199.2</v>
      </c>
      <c r="H131" s="8">
        <v>998.8</v>
      </c>
      <c r="I131" s="8">
        <v>1407.72</v>
      </c>
      <c r="J131" s="8">
        <v>1782.64</v>
      </c>
      <c r="K131" s="8">
        <v>1038.05</v>
      </c>
      <c r="L131" s="8">
        <v>514.47</v>
      </c>
      <c r="M131" s="8">
        <v>1591.95</v>
      </c>
      <c r="N131" s="9">
        <v>13998.69</v>
      </c>
    </row>
    <row r="132" spans="1:14" x14ac:dyDescent="0.3">
      <c r="A132" s="14" t="s">
        <v>101</v>
      </c>
      <c r="B132" s="8">
        <v>1549.12</v>
      </c>
      <c r="C132" s="8">
        <v>397.06</v>
      </c>
      <c r="D132" s="8">
        <v>174.19</v>
      </c>
      <c r="E132" s="8">
        <v>1405.9</v>
      </c>
      <c r="F132" s="8">
        <v>3837.21</v>
      </c>
      <c r="G132" s="8">
        <v>2073.98</v>
      </c>
      <c r="H132" s="8">
        <v>388.05</v>
      </c>
      <c r="I132" s="8">
        <v>1369.51</v>
      </c>
      <c r="J132" s="8">
        <v>785.17</v>
      </c>
      <c r="K132" s="8">
        <v>3609.3</v>
      </c>
      <c r="L132" s="8">
        <v>2376.83</v>
      </c>
      <c r="M132" s="8">
        <v>2020.73</v>
      </c>
      <c r="N132" s="9">
        <v>19987.05</v>
      </c>
    </row>
    <row r="133" spans="1:14" x14ac:dyDescent="0.3">
      <c r="A133" s="14" t="s">
        <v>21</v>
      </c>
      <c r="B133" s="8">
        <v>-2460.5100000000002</v>
      </c>
      <c r="C133" s="8">
        <v>5079.46</v>
      </c>
      <c r="D133" s="8">
        <v>9750.75</v>
      </c>
      <c r="E133" s="8">
        <v>978.65</v>
      </c>
      <c r="F133" s="8">
        <v>1676</v>
      </c>
      <c r="G133" s="8">
        <v>2503.1</v>
      </c>
      <c r="H133" s="8">
        <v>1145.6199999999999</v>
      </c>
      <c r="I133" s="8">
        <v>2820.27</v>
      </c>
      <c r="J133" s="8">
        <v>1419.34</v>
      </c>
      <c r="K133" s="8">
        <v>1072.92</v>
      </c>
      <c r="L133" s="8">
        <v>3106.83</v>
      </c>
      <c r="M133" s="8">
        <v>1219.05</v>
      </c>
      <c r="N133" s="9">
        <v>28311.48</v>
      </c>
    </row>
    <row r="134" spans="1:14" x14ac:dyDescent="0.3">
      <c r="A134" s="14" t="s">
        <v>102</v>
      </c>
      <c r="B134" s="8">
        <v>0</v>
      </c>
      <c r="C134" s="8">
        <v>0</v>
      </c>
      <c r="D134" s="8">
        <v>0</v>
      </c>
      <c r="E134" s="8">
        <v>0</v>
      </c>
      <c r="F134" s="8">
        <v>0</v>
      </c>
      <c r="G134" s="8">
        <v>0</v>
      </c>
      <c r="H134" s="8">
        <v>0</v>
      </c>
      <c r="I134" s="8">
        <v>0</v>
      </c>
      <c r="J134" s="8">
        <v>0</v>
      </c>
      <c r="K134" s="8">
        <v>0</v>
      </c>
      <c r="L134" s="8">
        <v>0</v>
      </c>
      <c r="M134" s="8">
        <v>0</v>
      </c>
      <c r="N134" s="9">
        <v>0</v>
      </c>
    </row>
    <row r="135" spans="1:14" x14ac:dyDescent="0.3">
      <c r="A135" s="10" t="s">
        <v>103</v>
      </c>
      <c r="B135" s="11">
        <v>13028.859999999999</v>
      </c>
      <c r="C135" s="11">
        <v>18764.03</v>
      </c>
      <c r="D135" s="11">
        <v>18152.32</v>
      </c>
      <c r="E135" s="11">
        <v>11156.09</v>
      </c>
      <c r="F135" s="11">
        <v>34225.24</v>
      </c>
      <c r="G135" s="11">
        <v>20511.95</v>
      </c>
      <c r="H135" s="11">
        <v>11891.929999999997</v>
      </c>
      <c r="I135" s="11">
        <v>29923</v>
      </c>
      <c r="J135" s="11">
        <v>17273.699999999997</v>
      </c>
      <c r="K135" s="11">
        <v>26413.61</v>
      </c>
      <c r="L135" s="11">
        <v>3444.58</v>
      </c>
      <c r="M135" s="11">
        <v>18638.689999999999</v>
      </c>
      <c r="N135" s="11">
        <v>223424</v>
      </c>
    </row>
    <row r="136" spans="1:14" x14ac:dyDescent="0.3">
      <c r="A136" s="13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</row>
    <row r="137" spans="1:14" x14ac:dyDescent="0.3">
      <c r="A137" s="14" t="s">
        <v>104</v>
      </c>
      <c r="B137" s="8">
        <v>3114.99</v>
      </c>
      <c r="C137" s="8">
        <v>10350.06</v>
      </c>
      <c r="D137" s="8">
        <v>6109.34</v>
      </c>
      <c r="E137" s="8">
        <v>11091.4</v>
      </c>
      <c r="F137" s="8">
        <v>12447.97</v>
      </c>
      <c r="G137" s="8">
        <v>5941.25</v>
      </c>
      <c r="H137" s="8">
        <v>8437.67</v>
      </c>
      <c r="I137" s="8">
        <v>9406.82</v>
      </c>
      <c r="J137" s="8">
        <v>4590.9799999999996</v>
      </c>
      <c r="K137" s="8">
        <v>10302.82</v>
      </c>
      <c r="L137" s="8">
        <v>-1703.95</v>
      </c>
      <c r="M137" s="8">
        <v>1563.69</v>
      </c>
      <c r="N137" s="9">
        <v>81653.039999999994</v>
      </c>
    </row>
    <row r="138" spans="1:14" x14ac:dyDescent="0.3">
      <c r="A138" s="13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</row>
    <row r="139" spans="1:14" ht="15" thickBot="1" x14ac:dyDescent="0.35">
      <c r="A139" s="10" t="s">
        <v>105</v>
      </c>
      <c r="B139" s="20">
        <v>16143.849999999999</v>
      </c>
      <c r="C139" s="20">
        <v>29114.089999999997</v>
      </c>
      <c r="D139" s="20">
        <v>24261.66</v>
      </c>
      <c r="E139" s="20">
        <v>22247.489999999998</v>
      </c>
      <c r="F139" s="20">
        <v>46673.21</v>
      </c>
      <c r="G139" s="20">
        <v>26453.200000000001</v>
      </c>
      <c r="H139" s="20">
        <v>20329.599999999999</v>
      </c>
      <c r="I139" s="20">
        <v>39329.82</v>
      </c>
      <c r="J139" s="20">
        <v>21864.679999999997</v>
      </c>
      <c r="K139" s="20">
        <v>36716.43</v>
      </c>
      <c r="L139" s="20">
        <v>1740.6299999999999</v>
      </c>
      <c r="M139" s="20">
        <v>20202.379999999997</v>
      </c>
      <c r="N139" s="20">
        <v>305077.03999999998</v>
      </c>
    </row>
    <row r="140" spans="1:14" x14ac:dyDescent="0.3">
      <c r="A140" s="13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</row>
    <row r="141" spans="1:14" x14ac:dyDescent="0.3">
      <c r="A141" s="13" t="s">
        <v>106</v>
      </c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</row>
    <row r="142" spans="1:14" x14ac:dyDescent="0.3">
      <c r="A142" s="13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</row>
    <row r="143" spans="1:14" x14ac:dyDescent="0.3">
      <c r="A143" s="14" t="s">
        <v>107</v>
      </c>
      <c r="B143" s="8">
        <v>8046.32</v>
      </c>
      <c r="C143" s="8">
        <v>9268.94</v>
      </c>
      <c r="D143" s="8">
        <v>9100.0300000000007</v>
      </c>
      <c r="E143" s="8">
        <v>10432.379999999999</v>
      </c>
      <c r="F143" s="8">
        <v>11127.98</v>
      </c>
      <c r="G143" s="8">
        <v>11128.68</v>
      </c>
      <c r="H143" s="8">
        <v>10830.21</v>
      </c>
      <c r="I143" s="8">
        <v>10811.64</v>
      </c>
      <c r="J143" s="8">
        <v>10688.04</v>
      </c>
      <c r="K143" s="8">
        <v>10584.63</v>
      </c>
      <c r="L143" s="8">
        <v>9088.02</v>
      </c>
      <c r="M143" s="8">
        <v>9313.98</v>
      </c>
      <c r="N143" s="9">
        <v>120420.85</v>
      </c>
    </row>
    <row r="144" spans="1:14" x14ac:dyDescent="0.3">
      <c r="A144" s="14" t="s">
        <v>24</v>
      </c>
      <c r="B144" s="8">
        <v>0</v>
      </c>
      <c r="C144" s="8">
        <v>0</v>
      </c>
      <c r="D144" s="8">
        <v>0</v>
      </c>
      <c r="E144" s="8">
        <v>0</v>
      </c>
      <c r="F144" s="8">
        <v>0</v>
      </c>
      <c r="G144" s="8">
        <v>0</v>
      </c>
      <c r="H144" s="8">
        <v>0</v>
      </c>
      <c r="I144" s="8">
        <v>0</v>
      </c>
      <c r="J144" s="8">
        <v>0</v>
      </c>
      <c r="K144" s="8">
        <v>0</v>
      </c>
      <c r="L144" s="8">
        <v>0</v>
      </c>
      <c r="M144" s="8">
        <v>0</v>
      </c>
      <c r="N144" s="9">
        <v>0</v>
      </c>
    </row>
    <row r="145" spans="1:14" x14ac:dyDescent="0.3">
      <c r="A145" s="14" t="s">
        <v>108</v>
      </c>
      <c r="B145" s="8">
        <v>1832</v>
      </c>
      <c r="C145" s="8">
        <v>1289.71</v>
      </c>
      <c r="D145" s="8">
        <v>2145.6999999999998</v>
      </c>
      <c r="E145" s="8">
        <v>1109.71</v>
      </c>
      <c r="F145" s="8">
        <v>0</v>
      </c>
      <c r="G145" s="8">
        <v>329.79</v>
      </c>
      <c r="H145" s="8">
        <v>100</v>
      </c>
      <c r="I145" s="8">
        <v>242.95</v>
      </c>
      <c r="J145" s="8">
        <v>318.64999999999998</v>
      </c>
      <c r="K145" s="8">
        <v>1541.78</v>
      </c>
      <c r="L145" s="8">
        <v>394.3</v>
      </c>
      <c r="M145" s="8">
        <v>1663.82</v>
      </c>
      <c r="N145" s="9">
        <v>10968.41</v>
      </c>
    </row>
    <row r="146" spans="1:14" x14ac:dyDescent="0.3">
      <c r="A146" s="14" t="s">
        <v>109</v>
      </c>
      <c r="B146" s="8">
        <v>927.31</v>
      </c>
      <c r="C146" s="8">
        <v>459.71</v>
      </c>
      <c r="D146" s="8">
        <v>402.32</v>
      </c>
      <c r="E146" s="8">
        <v>352.96</v>
      </c>
      <c r="F146" s="8">
        <v>854.9</v>
      </c>
      <c r="G146" s="8">
        <v>111.77</v>
      </c>
      <c r="H146" s="8">
        <v>408.81</v>
      </c>
      <c r="I146" s="8">
        <v>179.94</v>
      </c>
      <c r="J146" s="8">
        <v>685.32</v>
      </c>
      <c r="K146" s="8">
        <v>587.54</v>
      </c>
      <c r="L146" s="8">
        <v>208.49</v>
      </c>
      <c r="M146" s="8">
        <v>207.97</v>
      </c>
      <c r="N146" s="9">
        <v>5387.04</v>
      </c>
    </row>
    <row r="147" spans="1:14" x14ac:dyDescent="0.3">
      <c r="A147" s="14" t="s">
        <v>110</v>
      </c>
      <c r="B147" s="8">
        <v>8668.9699999999993</v>
      </c>
      <c r="C147" s="8">
        <v>1904.48</v>
      </c>
      <c r="D147" s="8">
        <v>2138.94</v>
      </c>
      <c r="E147" s="8">
        <v>4706.8900000000003</v>
      </c>
      <c r="F147" s="8">
        <v>1449.86</v>
      </c>
      <c r="G147" s="8">
        <v>1314.26</v>
      </c>
      <c r="H147" s="8">
        <v>1352.21</v>
      </c>
      <c r="I147" s="8">
        <v>2412.5</v>
      </c>
      <c r="J147" s="8">
        <v>2989.44</v>
      </c>
      <c r="K147" s="8">
        <v>3800.54</v>
      </c>
      <c r="L147" s="8">
        <v>1186.6500000000001</v>
      </c>
      <c r="M147" s="8">
        <v>824.16</v>
      </c>
      <c r="N147" s="9">
        <v>32748.9</v>
      </c>
    </row>
    <row r="148" spans="1:14" x14ac:dyDescent="0.3">
      <c r="A148" s="10" t="s">
        <v>111</v>
      </c>
      <c r="B148" s="11">
        <v>19474.599999999999</v>
      </c>
      <c r="C148" s="11">
        <v>12922.84</v>
      </c>
      <c r="D148" s="11">
        <v>13786.99</v>
      </c>
      <c r="E148" s="11">
        <v>16601.939999999999</v>
      </c>
      <c r="F148" s="11">
        <v>13432.74</v>
      </c>
      <c r="G148" s="11">
        <v>12884.500000000002</v>
      </c>
      <c r="H148" s="11">
        <v>12691.23</v>
      </c>
      <c r="I148" s="11">
        <v>13647.03</v>
      </c>
      <c r="J148" s="11">
        <v>14681.45</v>
      </c>
      <c r="K148" s="11">
        <v>16514.490000000002</v>
      </c>
      <c r="L148" s="11">
        <v>10877.46</v>
      </c>
      <c r="M148" s="11">
        <v>12009.929999999998</v>
      </c>
      <c r="N148" s="11">
        <v>169525.2</v>
      </c>
    </row>
    <row r="149" spans="1:14" x14ac:dyDescent="0.3">
      <c r="A149" s="13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</row>
    <row r="150" spans="1:14" x14ac:dyDescent="0.3">
      <c r="A150" s="13" t="s">
        <v>112</v>
      </c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</row>
    <row r="151" spans="1:14" x14ac:dyDescent="0.3">
      <c r="A151" s="14" t="s">
        <v>113</v>
      </c>
      <c r="B151" s="8">
        <v>10389.08</v>
      </c>
      <c r="C151" s="8">
        <v>9355.64</v>
      </c>
      <c r="D151" s="8">
        <v>9305.64</v>
      </c>
      <c r="E151" s="8">
        <v>9773.9</v>
      </c>
      <c r="F151" s="8">
        <v>10533.25</v>
      </c>
      <c r="G151" s="8">
        <v>12240.04</v>
      </c>
      <c r="H151" s="8">
        <v>11646.64</v>
      </c>
      <c r="I151" s="8">
        <v>12843.1</v>
      </c>
      <c r="J151" s="8">
        <v>14414.97</v>
      </c>
      <c r="K151" s="8">
        <v>12553.87</v>
      </c>
      <c r="L151" s="8">
        <v>12927.59</v>
      </c>
      <c r="M151" s="8">
        <v>11877.59</v>
      </c>
      <c r="N151" s="9">
        <v>137861.31</v>
      </c>
    </row>
    <row r="152" spans="1:14" x14ac:dyDescent="0.3">
      <c r="A152" s="14" t="s">
        <v>114</v>
      </c>
      <c r="B152" s="8">
        <v>0</v>
      </c>
      <c r="C152" s="8">
        <v>0</v>
      </c>
      <c r="D152" s="8">
        <v>0</v>
      </c>
      <c r="E152" s="8">
        <v>0</v>
      </c>
      <c r="F152" s="8">
        <v>0</v>
      </c>
      <c r="G152" s="8">
        <v>0</v>
      </c>
      <c r="H152" s="8">
        <v>0</v>
      </c>
      <c r="I152" s="8">
        <v>0</v>
      </c>
      <c r="J152" s="8">
        <v>0</v>
      </c>
      <c r="K152" s="8">
        <v>0</v>
      </c>
      <c r="L152" s="8">
        <v>0</v>
      </c>
      <c r="M152" s="8">
        <v>0</v>
      </c>
      <c r="N152" s="9">
        <v>0</v>
      </c>
    </row>
    <row r="153" spans="1:14" x14ac:dyDescent="0.3">
      <c r="A153" s="14" t="s">
        <v>24</v>
      </c>
      <c r="B153" s="8">
        <v>0</v>
      </c>
      <c r="C153" s="8">
        <v>0</v>
      </c>
      <c r="D153" s="8">
        <v>0</v>
      </c>
      <c r="E153" s="8">
        <v>0</v>
      </c>
      <c r="F153" s="8">
        <v>0</v>
      </c>
      <c r="G153" s="8">
        <v>0</v>
      </c>
      <c r="H153" s="8">
        <v>0</v>
      </c>
      <c r="I153" s="8">
        <v>0</v>
      </c>
      <c r="J153" s="8">
        <v>0</v>
      </c>
      <c r="K153" s="8">
        <v>0</v>
      </c>
      <c r="L153" s="8">
        <v>0</v>
      </c>
      <c r="M153" s="8">
        <v>0</v>
      </c>
      <c r="N153" s="9">
        <v>0</v>
      </c>
    </row>
    <row r="154" spans="1:14" x14ac:dyDescent="0.3">
      <c r="A154" s="14" t="s">
        <v>115</v>
      </c>
      <c r="B154" s="8">
        <v>0</v>
      </c>
      <c r="C154" s="8">
        <v>0</v>
      </c>
      <c r="D154" s="8">
        <v>0</v>
      </c>
      <c r="E154" s="8">
        <v>0</v>
      </c>
      <c r="F154" s="8">
        <v>0</v>
      </c>
      <c r="G154" s="8">
        <v>0</v>
      </c>
      <c r="H154" s="8">
        <v>0</v>
      </c>
      <c r="I154" s="8">
        <v>0</v>
      </c>
      <c r="J154" s="8">
        <v>0</v>
      </c>
      <c r="K154" s="8">
        <v>0</v>
      </c>
      <c r="L154" s="8">
        <v>0</v>
      </c>
      <c r="M154" s="8">
        <v>0</v>
      </c>
      <c r="N154" s="9">
        <v>0</v>
      </c>
    </row>
    <row r="155" spans="1:14" x14ac:dyDescent="0.3">
      <c r="A155" s="14" t="s">
        <v>116</v>
      </c>
      <c r="B155" s="8">
        <v>130.59</v>
      </c>
      <c r="C155" s="8">
        <v>130.59</v>
      </c>
      <c r="D155" s="8">
        <v>80.09</v>
      </c>
      <c r="E155" s="8">
        <v>130.59</v>
      </c>
      <c r="F155" s="8">
        <v>130.59</v>
      </c>
      <c r="G155" s="8">
        <v>130.59</v>
      </c>
      <c r="H155" s="8">
        <v>130.59</v>
      </c>
      <c r="I155" s="8">
        <v>130.59</v>
      </c>
      <c r="J155" s="8">
        <v>130.59</v>
      </c>
      <c r="K155" s="8">
        <v>130.59</v>
      </c>
      <c r="L155" s="8">
        <v>130.59</v>
      </c>
      <c r="M155" s="8">
        <v>130.59</v>
      </c>
      <c r="N155" s="9">
        <v>1516.58</v>
      </c>
    </row>
    <row r="156" spans="1:14" x14ac:dyDescent="0.3">
      <c r="A156" s="10" t="s">
        <v>117</v>
      </c>
      <c r="B156" s="11">
        <v>10519.67</v>
      </c>
      <c r="C156" s="11">
        <v>9486.23</v>
      </c>
      <c r="D156" s="11">
        <v>9385.73</v>
      </c>
      <c r="E156" s="11">
        <v>9904.49</v>
      </c>
      <c r="F156" s="11">
        <v>10663.84</v>
      </c>
      <c r="G156" s="11">
        <v>12370.630000000001</v>
      </c>
      <c r="H156" s="11">
        <v>11777.23</v>
      </c>
      <c r="I156" s="11">
        <v>12973.69</v>
      </c>
      <c r="J156" s="11">
        <v>14545.56</v>
      </c>
      <c r="K156" s="11">
        <v>12684.460000000001</v>
      </c>
      <c r="L156" s="11">
        <v>13058.18</v>
      </c>
      <c r="M156" s="11">
        <v>12008.18</v>
      </c>
      <c r="N156" s="11">
        <v>139377.88999999998</v>
      </c>
    </row>
    <row r="157" spans="1:14" x14ac:dyDescent="0.3">
      <c r="A157" s="10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</row>
    <row r="158" spans="1:14" x14ac:dyDescent="0.3">
      <c r="A158" s="10" t="s">
        <v>118</v>
      </c>
      <c r="B158" s="11">
        <v>29994.269999999997</v>
      </c>
      <c r="C158" s="11">
        <v>22409.07</v>
      </c>
      <c r="D158" s="11">
        <v>23172.720000000001</v>
      </c>
      <c r="E158" s="11">
        <v>26506.43</v>
      </c>
      <c r="F158" s="11">
        <v>24096.58</v>
      </c>
      <c r="G158" s="11">
        <v>25255.130000000005</v>
      </c>
      <c r="H158" s="11">
        <v>24468.46</v>
      </c>
      <c r="I158" s="11">
        <v>26620.720000000001</v>
      </c>
      <c r="J158" s="11">
        <v>29227.010000000002</v>
      </c>
      <c r="K158" s="11">
        <v>29198.950000000004</v>
      </c>
      <c r="L158" s="11">
        <v>23935.64</v>
      </c>
      <c r="M158" s="11">
        <v>24018.11</v>
      </c>
      <c r="N158" s="11">
        <v>308903.08999999997</v>
      </c>
    </row>
    <row r="159" spans="1:14" x14ac:dyDescent="0.3">
      <c r="A159" s="13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</row>
    <row r="160" spans="1:14" x14ac:dyDescent="0.3">
      <c r="A160" s="13" t="s">
        <v>119</v>
      </c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</row>
    <row r="161" spans="1:14" x14ac:dyDescent="0.3">
      <c r="A161" s="14" t="s">
        <v>120</v>
      </c>
      <c r="B161" s="8">
        <v>-2071.61</v>
      </c>
      <c r="C161" s="8">
        <v>-2041.39</v>
      </c>
      <c r="D161" s="8">
        <v>-2045.02</v>
      </c>
      <c r="E161" s="8">
        <v>-2105.1999999999998</v>
      </c>
      <c r="F161" s="8">
        <v>-2106.48</v>
      </c>
      <c r="G161" s="8">
        <v>-2172.35</v>
      </c>
      <c r="H161" s="8">
        <v>-2167.6999999999998</v>
      </c>
      <c r="I161" s="8">
        <v>-2226.37</v>
      </c>
      <c r="J161" s="8">
        <v>-2161</v>
      </c>
      <c r="K161" s="8">
        <v>-2111.58</v>
      </c>
      <c r="L161" s="8">
        <v>-2040</v>
      </c>
      <c r="M161" s="8">
        <v>-2038.37</v>
      </c>
      <c r="N161" s="9">
        <v>-25287.07</v>
      </c>
    </row>
    <row r="162" spans="1:14" x14ac:dyDescent="0.3">
      <c r="A162" s="13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</row>
    <row r="163" spans="1:14" ht="15" thickBot="1" x14ac:dyDescent="0.35">
      <c r="A163" s="10" t="s">
        <v>121</v>
      </c>
      <c r="B163" s="20">
        <v>27922.659999999996</v>
      </c>
      <c r="C163" s="20">
        <v>20367.68</v>
      </c>
      <c r="D163" s="20">
        <v>21127.7</v>
      </c>
      <c r="E163" s="20">
        <v>24401.23</v>
      </c>
      <c r="F163" s="20">
        <v>21990.100000000002</v>
      </c>
      <c r="G163" s="20">
        <v>23082.780000000006</v>
      </c>
      <c r="H163" s="20">
        <v>22300.76</v>
      </c>
      <c r="I163" s="20">
        <v>24394.350000000002</v>
      </c>
      <c r="J163" s="20">
        <v>27066.010000000002</v>
      </c>
      <c r="K163" s="20">
        <v>27087.370000000003</v>
      </c>
      <c r="L163" s="20">
        <v>21895.64</v>
      </c>
      <c r="M163" s="20">
        <v>21979.74</v>
      </c>
      <c r="N163" s="20">
        <v>283616.01999999996</v>
      </c>
    </row>
    <row r="164" spans="1:14" x14ac:dyDescent="0.3">
      <c r="A164" s="13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</row>
    <row r="165" spans="1:14" x14ac:dyDescent="0.3">
      <c r="A165" s="13" t="s">
        <v>122</v>
      </c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</row>
    <row r="166" spans="1:14" x14ac:dyDescent="0.3">
      <c r="A166" s="13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</row>
    <row r="167" spans="1:14" x14ac:dyDescent="0.3">
      <c r="A167" s="14" t="s">
        <v>123</v>
      </c>
      <c r="B167" s="8">
        <v>7082.52</v>
      </c>
      <c r="C167" s="8">
        <v>0</v>
      </c>
      <c r="D167" s="8">
        <v>0</v>
      </c>
      <c r="E167" s="8">
        <v>0</v>
      </c>
      <c r="F167" s="8">
        <v>0</v>
      </c>
      <c r="G167" s="8">
        <v>0</v>
      </c>
      <c r="H167" s="8">
        <v>0</v>
      </c>
      <c r="I167" s="8">
        <v>0</v>
      </c>
      <c r="J167" s="8">
        <v>0</v>
      </c>
      <c r="K167" s="8">
        <v>0</v>
      </c>
      <c r="L167" s="8">
        <v>2931.5</v>
      </c>
      <c r="M167" s="8">
        <v>0</v>
      </c>
      <c r="N167" s="9">
        <v>10014.02</v>
      </c>
    </row>
    <row r="168" spans="1:14" x14ac:dyDescent="0.3">
      <c r="A168" s="14" t="s">
        <v>124</v>
      </c>
      <c r="B168" s="8">
        <v>0</v>
      </c>
      <c r="C168" s="8">
        <v>0</v>
      </c>
      <c r="D168" s="8">
        <v>0</v>
      </c>
      <c r="E168" s="8">
        <v>0</v>
      </c>
      <c r="F168" s="8">
        <v>0</v>
      </c>
      <c r="G168" s="8">
        <v>0</v>
      </c>
      <c r="H168" s="8">
        <v>0</v>
      </c>
      <c r="I168" s="8">
        <v>0</v>
      </c>
      <c r="J168" s="8">
        <v>0</v>
      </c>
      <c r="K168" s="8">
        <v>0</v>
      </c>
      <c r="L168" s="8">
        <v>2502.9499999999998</v>
      </c>
      <c r="M168" s="8">
        <v>0</v>
      </c>
      <c r="N168" s="9">
        <v>2502.9499999999998</v>
      </c>
    </row>
    <row r="169" spans="1:14" x14ac:dyDescent="0.3">
      <c r="A169" s="14" t="s">
        <v>125</v>
      </c>
      <c r="B169" s="8">
        <v>929.26</v>
      </c>
      <c r="C169" s="8">
        <v>929.26</v>
      </c>
      <c r="D169" s="8">
        <v>929.26</v>
      </c>
      <c r="E169" s="8">
        <v>929.26</v>
      </c>
      <c r="F169" s="8">
        <v>929.26</v>
      </c>
      <c r="G169" s="8">
        <v>929.26</v>
      </c>
      <c r="H169" s="8">
        <v>929.26</v>
      </c>
      <c r="I169" s="8">
        <v>929.26</v>
      </c>
      <c r="J169" s="8">
        <v>929.26</v>
      </c>
      <c r="K169" s="8">
        <v>929.26</v>
      </c>
      <c r="L169" s="8">
        <v>929.26</v>
      </c>
      <c r="M169" s="8">
        <v>929.26</v>
      </c>
      <c r="N169" s="9">
        <v>11151.12</v>
      </c>
    </row>
    <row r="170" spans="1:14" x14ac:dyDescent="0.3">
      <c r="A170" s="14" t="s">
        <v>126</v>
      </c>
      <c r="B170" s="8">
        <v>1239</v>
      </c>
      <c r="C170" s="8">
        <v>1170.5</v>
      </c>
      <c r="D170" s="8">
        <v>1239</v>
      </c>
      <c r="E170" s="8">
        <v>1239</v>
      </c>
      <c r="F170" s="8">
        <v>1239</v>
      </c>
      <c r="G170" s="8">
        <v>1239</v>
      </c>
      <c r="H170" s="8">
        <v>1239</v>
      </c>
      <c r="I170" s="8">
        <v>1239</v>
      </c>
      <c r="J170" s="8">
        <v>1239</v>
      </c>
      <c r="K170" s="8">
        <v>1239</v>
      </c>
      <c r="L170" s="8">
        <v>1239</v>
      </c>
      <c r="M170" s="8">
        <v>1239</v>
      </c>
      <c r="N170" s="9">
        <v>14799.5</v>
      </c>
    </row>
    <row r="171" spans="1:14" x14ac:dyDescent="0.3">
      <c r="A171" s="14" t="s">
        <v>127</v>
      </c>
      <c r="B171" s="8">
        <v>1140.1600000000001</v>
      </c>
      <c r="C171" s="8">
        <v>1183.3699999999999</v>
      </c>
      <c r="D171" s="8">
        <v>1001.82</v>
      </c>
      <c r="E171" s="8">
        <v>1180.3900000000001</v>
      </c>
      <c r="F171" s="8">
        <v>1282.1500000000001</v>
      </c>
      <c r="G171" s="8">
        <v>1169.77</v>
      </c>
      <c r="H171" s="8">
        <v>1505.61</v>
      </c>
      <c r="I171" s="8">
        <v>1222.17</v>
      </c>
      <c r="J171" s="8">
        <v>1221.3</v>
      </c>
      <c r="K171" s="8">
        <v>1401.7</v>
      </c>
      <c r="L171" s="8">
        <v>1138.71</v>
      </c>
      <c r="M171" s="8">
        <v>1014.24</v>
      </c>
      <c r="N171" s="9">
        <v>14461.39</v>
      </c>
    </row>
    <row r="172" spans="1:14" x14ac:dyDescent="0.3">
      <c r="A172" s="10" t="s">
        <v>128</v>
      </c>
      <c r="B172" s="11">
        <v>10390.94</v>
      </c>
      <c r="C172" s="11">
        <v>3283.13</v>
      </c>
      <c r="D172" s="11">
        <v>3170.0800000000004</v>
      </c>
      <c r="E172" s="11">
        <v>3348.6500000000005</v>
      </c>
      <c r="F172" s="11">
        <v>3450.4100000000003</v>
      </c>
      <c r="G172" s="11">
        <v>3338.03</v>
      </c>
      <c r="H172" s="11">
        <v>3673.87</v>
      </c>
      <c r="I172" s="11">
        <v>3390.4300000000003</v>
      </c>
      <c r="J172" s="11">
        <v>3389.5600000000004</v>
      </c>
      <c r="K172" s="11">
        <v>3569.96</v>
      </c>
      <c r="L172" s="11">
        <v>8741.42</v>
      </c>
      <c r="M172" s="11">
        <v>3182.5</v>
      </c>
      <c r="N172" s="11">
        <v>52928.98</v>
      </c>
    </row>
    <row r="173" spans="1:14" x14ac:dyDescent="0.3">
      <c r="A173" s="13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</row>
    <row r="174" spans="1:14" x14ac:dyDescent="0.3">
      <c r="A174" s="14" t="s">
        <v>129</v>
      </c>
      <c r="B174" s="9">
        <v>0</v>
      </c>
      <c r="C174" s="9">
        <v>0</v>
      </c>
      <c r="D174" s="9">
        <v>0</v>
      </c>
      <c r="E174" s="9">
        <v>0</v>
      </c>
      <c r="F174" s="9">
        <v>0</v>
      </c>
      <c r="G174" s="9">
        <v>0</v>
      </c>
      <c r="H174" s="9">
        <v>0</v>
      </c>
      <c r="I174" s="9">
        <v>0</v>
      </c>
      <c r="J174" s="9">
        <v>0</v>
      </c>
      <c r="K174" s="9">
        <v>0</v>
      </c>
      <c r="L174" s="9">
        <v>0</v>
      </c>
      <c r="M174" s="9">
        <v>0</v>
      </c>
      <c r="N174" s="9">
        <v>0</v>
      </c>
    </row>
    <row r="175" spans="1:14" x14ac:dyDescent="0.3">
      <c r="A175" s="10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</row>
    <row r="176" spans="1:14" ht="15" thickBot="1" x14ac:dyDescent="0.35">
      <c r="A176" s="10" t="s">
        <v>130</v>
      </c>
      <c r="B176" s="20">
        <v>10390.94</v>
      </c>
      <c r="C176" s="20">
        <v>3283.13</v>
      </c>
      <c r="D176" s="20">
        <v>3170.0800000000004</v>
      </c>
      <c r="E176" s="20">
        <v>3348.6500000000005</v>
      </c>
      <c r="F176" s="20">
        <v>3450.4100000000003</v>
      </c>
      <c r="G176" s="20">
        <v>3338.03</v>
      </c>
      <c r="H176" s="20">
        <v>3673.87</v>
      </c>
      <c r="I176" s="20">
        <v>3390.4300000000003</v>
      </c>
      <c r="J176" s="20">
        <v>3389.5600000000004</v>
      </c>
      <c r="K176" s="20">
        <v>3569.96</v>
      </c>
      <c r="L176" s="20">
        <v>8741.42</v>
      </c>
      <c r="M176" s="20">
        <v>3182.5</v>
      </c>
      <c r="N176" s="20">
        <v>52928.98</v>
      </c>
    </row>
    <row r="177" spans="1:14" x14ac:dyDescent="0.3">
      <c r="A177" s="13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</row>
    <row r="178" spans="1:14" x14ac:dyDescent="0.3">
      <c r="A178" s="13" t="s">
        <v>131</v>
      </c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</row>
    <row r="179" spans="1:14" x14ac:dyDescent="0.3">
      <c r="A179" s="13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</row>
    <row r="180" spans="1:14" x14ac:dyDescent="0.3">
      <c r="A180" s="14" t="s">
        <v>132</v>
      </c>
      <c r="B180" s="8">
        <v>829.62</v>
      </c>
      <c r="C180" s="8">
        <v>454.51</v>
      </c>
      <c r="D180" s="8">
        <v>136.1</v>
      </c>
      <c r="E180" s="8">
        <v>795.86</v>
      </c>
      <c r="F180" s="8">
        <v>1007.7</v>
      </c>
      <c r="G180" s="8">
        <v>3026.58</v>
      </c>
      <c r="H180" s="8">
        <v>-1058.8900000000001</v>
      </c>
      <c r="I180" s="8">
        <v>1994.28</v>
      </c>
      <c r="J180" s="8">
        <v>546.5</v>
      </c>
      <c r="K180" s="8">
        <v>2499.91</v>
      </c>
      <c r="L180" s="8">
        <v>-929.48</v>
      </c>
      <c r="M180" s="8">
        <v>-340.31</v>
      </c>
      <c r="N180" s="9">
        <v>8962.3799999999992</v>
      </c>
    </row>
    <row r="181" spans="1:14" x14ac:dyDescent="0.3">
      <c r="A181" s="14" t="s">
        <v>133</v>
      </c>
      <c r="B181" s="8">
        <v>0</v>
      </c>
      <c r="C181" s="8">
        <v>0</v>
      </c>
      <c r="D181" s="8">
        <v>-8.84</v>
      </c>
      <c r="E181" s="8">
        <v>115.66</v>
      </c>
      <c r="F181" s="8">
        <v>727.56</v>
      </c>
      <c r="G181" s="8">
        <v>-200.25</v>
      </c>
      <c r="H181" s="8">
        <v>0</v>
      </c>
      <c r="I181" s="8">
        <v>0</v>
      </c>
      <c r="J181" s="8">
        <v>0</v>
      </c>
      <c r="K181" s="8">
        <v>0</v>
      </c>
      <c r="L181" s="8">
        <v>0</v>
      </c>
      <c r="M181" s="8">
        <v>0</v>
      </c>
      <c r="N181" s="9">
        <v>634.13</v>
      </c>
    </row>
    <row r="182" spans="1:14" x14ac:dyDescent="0.3">
      <c r="A182" s="10" t="s">
        <v>134</v>
      </c>
      <c r="B182" s="11">
        <v>829.62</v>
      </c>
      <c r="C182" s="11">
        <v>454.51</v>
      </c>
      <c r="D182" s="11">
        <v>127.25999999999999</v>
      </c>
      <c r="E182" s="11">
        <v>911.52</v>
      </c>
      <c r="F182" s="11">
        <v>1735.26</v>
      </c>
      <c r="G182" s="11">
        <v>2826.33</v>
      </c>
      <c r="H182" s="11">
        <v>-1058.8900000000001</v>
      </c>
      <c r="I182" s="11">
        <v>1994.28</v>
      </c>
      <c r="J182" s="11">
        <v>546.5</v>
      </c>
      <c r="K182" s="11">
        <v>2499.91</v>
      </c>
      <c r="L182" s="11">
        <v>-929.48</v>
      </c>
      <c r="M182" s="11">
        <v>-340.31</v>
      </c>
      <c r="N182" s="11">
        <v>9596.5099999999984</v>
      </c>
    </row>
    <row r="183" spans="1:14" x14ac:dyDescent="0.3">
      <c r="A183" s="13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</row>
    <row r="184" spans="1:14" x14ac:dyDescent="0.3">
      <c r="A184" s="14" t="s">
        <v>135</v>
      </c>
      <c r="B184" s="8">
        <v>1733.08</v>
      </c>
      <c r="C184" s="8">
        <v>14349.27</v>
      </c>
      <c r="D184" s="8">
        <v>728.04</v>
      </c>
      <c r="E184" s="8">
        <v>-8683.92</v>
      </c>
      <c r="F184" s="8">
        <v>-12547.97</v>
      </c>
      <c r="G184" s="8">
        <v>-336.74</v>
      </c>
      <c r="H184" s="8">
        <v>-7477.42</v>
      </c>
      <c r="I184" s="8">
        <v>2226.5100000000002</v>
      </c>
      <c r="J184" s="8">
        <v>13706.97</v>
      </c>
      <c r="K184" s="8">
        <v>-9298.34</v>
      </c>
      <c r="L184" s="8">
        <v>6642.22</v>
      </c>
      <c r="M184" s="8">
        <v>-1575.29</v>
      </c>
      <c r="N184" s="9">
        <v>-533.59</v>
      </c>
    </row>
    <row r="185" spans="1:14" x14ac:dyDescent="0.3">
      <c r="A185" s="14" t="s">
        <v>136</v>
      </c>
      <c r="B185" s="8">
        <v>0</v>
      </c>
      <c r="C185" s="8">
        <v>0</v>
      </c>
      <c r="D185" s="8">
        <v>0</v>
      </c>
      <c r="E185" s="8">
        <v>0</v>
      </c>
      <c r="F185" s="8">
        <v>0</v>
      </c>
      <c r="G185" s="8">
        <v>0</v>
      </c>
      <c r="H185" s="8">
        <v>0</v>
      </c>
      <c r="I185" s="8">
        <v>0</v>
      </c>
      <c r="J185" s="8">
        <v>0</v>
      </c>
      <c r="K185" s="8">
        <v>62.37</v>
      </c>
      <c r="L185" s="8">
        <v>325.5</v>
      </c>
      <c r="M185" s="8">
        <v>0</v>
      </c>
      <c r="N185" s="9">
        <v>387.87</v>
      </c>
    </row>
    <row r="186" spans="1:14" ht="15" thickBot="1" x14ac:dyDescent="0.35">
      <c r="A186" s="10" t="s">
        <v>137</v>
      </c>
      <c r="B186" s="20">
        <v>2562.6999999999998</v>
      </c>
      <c r="C186" s="20">
        <v>14803.78</v>
      </c>
      <c r="D186" s="20">
        <v>855.3</v>
      </c>
      <c r="E186" s="20">
        <v>-7772.4</v>
      </c>
      <c r="F186" s="20">
        <v>-10812.71</v>
      </c>
      <c r="G186" s="20">
        <v>2489.59</v>
      </c>
      <c r="H186" s="20">
        <v>-8536.31</v>
      </c>
      <c r="I186" s="20">
        <v>4220.79</v>
      </c>
      <c r="J186" s="20">
        <v>14253.47</v>
      </c>
      <c r="K186" s="20">
        <v>-6736.06</v>
      </c>
      <c r="L186" s="20">
        <v>6038.24</v>
      </c>
      <c r="M186" s="20">
        <v>-1915.6</v>
      </c>
      <c r="N186" s="20">
        <v>9450.7899999999991</v>
      </c>
    </row>
    <row r="187" spans="1:14" x14ac:dyDescent="0.3">
      <c r="A187" s="13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</row>
    <row r="188" spans="1:14" x14ac:dyDescent="0.3">
      <c r="A188" s="13" t="s">
        <v>138</v>
      </c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</row>
    <row r="189" spans="1:14" x14ac:dyDescent="0.3">
      <c r="A189" s="13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</row>
    <row r="190" spans="1:14" x14ac:dyDescent="0.3">
      <c r="A190" s="13" t="s">
        <v>139</v>
      </c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</row>
    <row r="191" spans="1:14" x14ac:dyDescent="0.3">
      <c r="A191" s="13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</row>
    <row r="192" spans="1:14" x14ac:dyDescent="0.3">
      <c r="A192" s="14" t="s">
        <v>140</v>
      </c>
      <c r="B192" s="8">
        <v>0</v>
      </c>
      <c r="C192" s="8">
        <v>0</v>
      </c>
      <c r="D192" s="8">
        <v>0</v>
      </c>
      <c r="E192" s="8">
        <v>0</v>
      </c>
      <c r="F192" s="8">
        <v>0</v>
      </c>
      <c r="G192" s="8">
        <v>0</v>
      </c>
      <c r="H192" s="8">
        <v>0</v>
      </c>
      <c r="I192" s="8">
        <v>0</v>
      </c>
      <c r="J192" s="8">
        <v>0</v>
      </c>
      <c r="K192" s="8">
        <v>0</v>
      </c>
      <c r="L192" s="8">
        <v>129.34</v>
      </c>
      <c r="M192" s="8">
        <v>177.06</v>
      </c>
      <c r="N192" s="9">
        <v>306.39999999999998</v>
      </c>
    </row>
    <row r="193" spans="1:14" x14ac:dyDescent="0.3">
      <c r="A193" s="14" t="s">
        <v>141</v>
      </c>
      <c r="B193" s="8">
        <v>5235.38</v>
      </c>
      <c r="C193" s="8">
        <v>5235.38</v>
      </c>
      <c r="D193" s="8">
        <v>5235.38</v>
      </c>
      <c r="E193" s="8">
        <v>5235.38</v>
      </c>
      <c r="F193" s="8">
        <v>5235.38</v>
      </c>
      <c r="G193" s="8">
        <v>5845.67</v>
      </c>
      <c r="H193" s="8">
        <v>5374.87</v>
      </c>
      <c r="I193" s="8">
        <v>5374.87</v>
      </c>
      <c r="J193" s="8">
        <v>5516.36</v>
      </c>
      <c r="K193" s="8">
        <v>5533.04</v>
      </c>
      <c r="L193" s="8">
        <v>5533.04</v>
      </c>
      <c r="M193" s="8">
        <v>5533.04</v>
      </c>
      <c r="N193" s="9">
        <v>64887.79</v>
      </c>
    </row>
    <row r="194" spans="1:14" x14ac:dyDescent="0.3">
      <c r="A194" s="14" t="s">
        <v>24</v>
      </c>
      <c r="B194" s="8">
        <v>0</v>
      </c>
      <c r="C194" s="8">
        <v>0</v>
      </c>
      <c r="D194" s="8">
        <v>0</v>
      </c>
      <c r="E194" s="8">
        <v>0</v>
      </c>
      <c r="F194" s="8">
        <v>0</v>
      </c>
      <c r="G194" s="8">
        <v>0</v>
      </c>
      <c r="H194" s="8">
        <v>0</v>
      </c>
      <c r="I194" s="8">
        <v>0</v>
      </c>
      <c r="J194" s="8">
        <v>0</v>
      </c>
      <c r="K194" s="8">
        <v>0</v>
      </c>
      <c r="L194" s="8">
        <v>0</v>
      </c>
      <c r="M194" s="8">
        <v>0</v>
      </c>
      <c r="N194" s="9">
        <v>0</v>
      </c>
    </row>
    <row r="195" spans="1:14" x14ac:dyDescent="0.3">
      <c r="A195" s="14" t="s">
        <v>114</v>
      </c>
      <c r="B195" s="8">
        <v>1070.96</v>
      </c>
      <c r="C195" s="8">
        <v>1071.01</v>
      </c>
      <c r="D195" s="8">
        <v>791.4</v>
      </c>
      <c r="E195" s="8">
        <v>731.76</v>
      </c>
      <c r="F195" s="8">
        <v>833.95</v>
      </c>
      <c r="G195" s="8">
        <v>873.6</v>
      </c>
      <c r="H195" s="8">
        <v>936.81</v>
      </c>
      <c r="I195" s="8">
        <v>1047.1099999999999</v>
      </c>
      <c r="J195" s="8">
        <v>1047.0999999999999</v>
      </c>
      <c r="K195" s="8">
        <v>1047.1099999999999</v>
      </c>
      <c r="L195" s="8">
        <v>1047.0999999999999</v>
      </c>
      <c r="M195" s="8">
        <v>1047.1300000000001</v>
      </c>
      <c r="N195" s="9">
        <v>11545.04</v>
      </c>
    </row>
    <row r="196" spans="1:14" x14ac:dyDescent="0.3">
      <c r="A196" s="14" t="s">
        <v>142</v>
      </c>
      <c r="B196" s="8">
        <v>0</v>
      </c>
      <c r="C196" s="8">
        <v>0</v>
      </c>
      <c r="D196" s="8">
        <v>0</v>
      </c>
      <c r="E196" s="8">
        <v>0</v>
      </c>
      <c r="F196" s="8">
        <v>0</v>
      </c>
      <c r="G196" s="8">
        <v>0</v>
      </c>
      <c r="H196" s="8">
        <v>0</v>
      </c>
      <c r="I196" s="8">
        <v>0</v>
      </c>
      <c r="J196" s="8">
        <v>0</v>
      </c>
      <c r="K196" s="8">
        <v>0</v>
      </c>
      <c r="L196" s="8">
        <v>0</v>
      </c>
      <c r="M196" s="8">
        <v>0</v>
      </c>
      <c r="N196" s="9">
        <v>0</v>
      </c>
    </row>
    <row r="197" spans="1:14" ht="15" thickBot="1" x14ac:dyDescent="0.35">
      <c r="A197" s="10" t="s">
        <v>143</v>
      </c>
      <c r="B197" s="20">
        <v>6306.34</v>
      </c>
      <c r="C197" s="20">
        <v>6306.39</v>
      </c>
      <c r="D197" s="20">
        <v>6026.78</v>
      </c>
      <c r="E197" s="20">
        <v>5967.14</v>
      </c>
      <c r="F197" s="20">
        <v>6069.33</v>
      </c>
      <c r="G197" s="20">
        <v>6719.27</v>
      </c>
      <c r="H197" s="20">
        <v>6311.68</v>
      </c>
      <c r="I197" s="20">
        <v>6421.98</v>
      </c>
      <c r="J197" s="20">
        <v>6563.4599999999991</v>
      </c>
      <c r="K197" s="20">
        <v>6580.15</v>
      </c>
      <c r="L197" s="20">
        <v>6709.48</v>
      </c>
      <c r="M197" s="20">
        <v>6757.2300000000005</v>
      </c>
      <c r="N197" s="20">
        <v>76739.23000000001</v>
      </c>
    </row>
    <row r="198" spans="1:14" x14ac:dyDescent="0.3">
      <c r="A198" s="13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</row>
    <row r="199" spans="1:14" x14ac:dyDescent="0.3">
      <c r="A199" s="13" t="s">
        <v>144</v>
      </c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</row>
    <row r="200" spans="1:14" x14ac:dyDescent="0.3">
      <c r="A200" s="13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</row>
    <row r="201" spans="1:14" x14ac:dyDescent="0.3">
      <c r="A201" s="14" t="s">
        <v>145</v>
      </c>
      <c r="B201" s="8">
        <v>503.07</v>
      </c>
      <c r="C201" s="8">
        <v>941.75</v>
      </c>
      <c r="D201" s="8">
        <v>635.74</v>
      </c>
      <c r="E201" s="8">
        <v>1523.3</v>
      </c>
      <c r="F201" s="8">
        <v>3040.18</v>
      </c>
      <c r="G201" s="8">
        <v>0</v>
      </c>
      <c r="H201" s="8">
        <v>388.26</v>
      </c>
      <c r="I201" s="8">
        <v>280.11</v>
      </c>
      <c r="J201" s="8">
        <v>213.29</v>
      </c>
      <c r="K201" s="8">
        <v>17.66</v>
      </c>
      <c r="L201" s="8">
        <v>835.69</v>
      </c>
      <c r="M201" s="8">
        <v>157.46</v>
      </c>
      <c r="N201" s="9">
        <v>8536.51</v>
      </c>
    </row>
    <row r="202" spans="1:14" x14ac:dyDescent="0.3">
      <c r="A202" s="14" t="s">
        <v>146</v>
      </c>
      <c r="B202" s="8">
        <v>445.35</v>
      </c>
      <c r="C202" s="8">
        <v>1061.5</v>
      </c>
      <c r="D202" s="8">
        <v>682.6</v>
      </c>
      <c r="E202" s="8">
        <v>505.99</v>
      </c>
      <c r="F202" s="8">
        <v>1664.56</v>
      </c>
      <c r="G202" s="8">
        <v>616.16</v>
      </c>
      <c r="H202" s="8">
        <v>452.77</v>
      </c>
      <c r="I202" s="8">
        <v>827.06</v>
      </c>
      <c r="J202" s="8">
        <v>489.53</v>
      </c>
      <c r="K202" s="8">
        <v>446.84</v>
      </c>
      <c r="L202" s="8">
        <v>92.89</v>
      </c>
      <c r="M202" s="8">
        <v>493.06</v>
      </c>
      <c r="N202" s="9">
        <v>7778.31</v>
      </c>
    </row>
    <row r="203" spans="1:14" x14ac:dyDescent="0.3">
      <c r="A203" s="14" t="s">
        <v>147</v>
      </c>
      <c r="B203" s="8">
        <v>0</v>
      </c>
      <c r="C203" s="8">
        <v>0</v>
      </c>
      <c r="D203" s="8">
        <v>0</v>
      </c>
      <c r="E203" s="8">
        <v>0</v>
      </c>
      <c r="F203" s="8">
        <v>0</v>
      </c>
      <c r="G203" s="8">
        <v>0</v>
      </c>
      <c r="H203" s="8">
        <v>0</v>
      </c>
      <c r="I203" s="8">
        <v>0</v>
      </c>
      <c r="J203" s="8">
        <v>0</v>
      </c>
      <c r="K203" s="8">
        <v>1644.97</v>
      </c>
      <c r="L203" s="8">
        <v>0</v>
      </c>
      <c r="M203" s="8">
        <v>0</v>
      </c>
      <c r="N203" s="9">
        <v>1644.97</v>
      </c>
    </row>
    <row r="204" spans="1:14" x14ac:dyDescent="0.3">
      <c r="A204" s="7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9"/>
    </row>
    <row r="205" spans="1:14" x14ac:dyDescent="0.3">
      <c r="A205" s="14" t="s">
        <v>148</v>
      </c>
      <c r="B205" s="8">
        <v>819.27</v>
      </c>
      <c r="C205" s="8">
        <v>671.73</v>
      </c>
      <c r="D205" s="8">
        <v>600.6</v>
      </c>
      <c r="E205" s="8">
        <v>772.86</v>
      </c>
      <c r="F205" s="8">
        <v>882.4</v>
      </c>
      <c r="G205" s="8">
        <v>1444.42</v>
      </c>
      <c r="H205" s="8">
        <v>1656.13</v>
      </c>
      <c r="I205" s="8">
        <v>810.69</v>
      </c>
      <c r="J205" s="8">
        <v>1056.8</v>
      </c>
      <c r="K205" s="8">
        <v>9165.34</v>
      </c>
      <c r="L205" s="8">
        <v>-3397.4</v>
      </c>
      <c r="M205" s="8">
        <v>3511.36</v>
      </c>
      <c r="N205" s="9">
        <v>17994.2</v>
      </c>
    </row>
    <row r="206" spans="1:14" x14ac:dyDescent="0.3">
      <c r="A206" s="14" t="s">
        <v>149</v>
      </c>
      <c r="B206" s="8">
        <v>0</v>
      </c>
      <c r="C206" s="8">
        <v>0</v>
      </c>
      <c r="D206" s="8">
        <v>0</v>
      </c>
      <c r="E206" s="8">
        <v>46.9</v>
      </c>
      <c r="F206" s="8">
        <v>56.26</v>
      </c>
      <c r="G206" s="8">
        <v>0</v>
      </c>
      <c r="H206" s="8">
        <v>0</v>
      </c>
      <c r="I206" s="8">
        <v>0</v>
      </c>
      <c r="J206" s="8">
        <v>0</v>
      </c>
      <c r="K206" s="8">
        <v>0</v>
      </c>
      <c r="L206" s="8">
        <v>103.89</v>
      </c>
      <c r="M206" s="8">
        <v>170.61</v>
      </c>
      <c r="N206" s="9">
        <v>377.66</v>
      </c>
    </row>
    <row r="207" spans="1:14" x14ac:dyDescent="0.3">
      <c r="A207" s="7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9"/>
    </row>
    <row r="208" spans="1:14" x14ac:dyDescent="0.3">
      <c r="A208" s="13" t="s">
        <v>150</v>
      </c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</row>
    <row r="209" spans="1:14" x14ac:dyDescent="0.3">
      <c r="A209" s="13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</row>
    <row r="210" spans="1:14" x14ac:dyDescent="0.3">
      <c r="A210" s="14" t="s">
        <v>151</v>
      </c>
      <c r="B210" s="8">
        <v>448.12</v>
      </c>
      <c r="C210" s="8">
        <v>460.4</v>
      </c>
      <c r="D210" s="8">
        <v>464.31</v>
      </c>
      <c r="E210" s="8">
        <v>481.89</v>
      </c>
      <c r="F210" s="8">
        <v>481.92</v>
      </c>
      <c r="G210" s="8">
        <v>467.3</v>
      </c>
      <c r="H210" s="8">
        <v>456.36</v>
      </c>
      <c r="I210" s="8">
        <v>465.8</v>
      </c>
      <c r="J210" s="8">
        <v>496.14</v>
      </c>
      <c r="K210" s="8">
        <v>485.44</v>
      </c>
      <c r="L210" s="8">
        <v>401.26</v>
      </c>
      <c r="M210" s="8">
        <v>303.69</v>
      </c>
      <c r="N210" s="9">
        <v>5412.63</v>
      </c>
    </row>
    <row r="211" spans="1:14" x14ac:dyDescent="0.3">
      <c r="A211" s="14" t="s">
        <v>152</v>
      </c>
      <c r="B211" s="8">
        <v>25.03</v>
      </c>
      <c r="C211" s="8">
        <v>34.93</v>
      </c>
      <c r="D211" s="8">
        <v>31.14</v>
      </c>
      <c r="E211" s="8">
        <v>29.28</v>
      </c>
      <c r="F211" s="8">
        <v>36.409999999999997</v>
      </c>
      <c r="G211" s="8">
        <v>30.35</v>
      </c>
      <c r="H211" s="8">
        <v>17.71</v>
      </c>
      <c r="I211" s="8">
        <v>19.7</v>
      </c>
      <c r="J211" s="8">
        <v>16.79</v>
      </c>
      <c r="K211" s="8">
        <v>63.83</v>
      </c>
      <c r="L211" s="8">
        <v>2.97</v>
      </c>
      <c r="M211" s="8">
        <v>11.73</v>
      </c>
      <c r="N211" s="9">
        <v>319.87</v>
      </c>
    </row>
    <row r="212" spans="1:14" x14ac:dyDescent="0.3">
      <c r="A212" s="14" t="s">
        <v>153</v>
      </c>
      <c r="B212" s="8">
        <v>1049</v>
      </c>
      <c r="C212" s="8">
        <v>999</v>
      </c>
      <c r="D212" s="8">
        <v>1003.46</v>
      </c>
      <c r="E212" s="8">
        <v>999</v>
      </c>
      <c r="F212" s="8">
        <v>1185.46</v>
      </c>
      <c r="G212" s="8">
        <v>1048.95</v>
      </c>
      <c r="H212" s="8">
        <v>1048.95</v>
      </c>
      <c r="I212" s="8">
        <v>1072.9000000000001</v>
      </c>
      <c r="J212" s="8">
        <v>1048.95</v>
      </c>
      <c r="K212" s="8">
        <v>1048.95</v>
      </c>
      <c r="L212" s="8">
        <v>1059.44</v>
      </c>
      <c r="M212" s="8">
        <v>1048.95</v>
      </c>
      <c r="N212" s="9">
        <v>12613.01</v>
      </c>
    </row>
    <row r="213" spans="1:14" x14ac:dyDescent="0.3">
      <c r="A213" s="14" t="s">
        <v>154</v>
      </c>
      <c r="B213" s="8">
        <v>154.5</v>
      </c>
      <c r="C213" s="8">
        <v>172.5</v>
      </c>
      <c r="D213" s="8">
        <v>384.48</v>
      </c>
      <c r="E213" s="8">
        <v>100</v>
      </c>
      <c r="F213" s="8">
        <v>100</v>
      </c>
      <c r="G213" s="8">
        <v>100</v>
      </c>
      <c r="H213" s="8">
        <v>184.98</v>
      </c>
      <c r="I213" s="8">
        <v>226.95</v>
      </c>
      <c r="J213" s="8">
        <v>102.5</v>
      </c>
      <c r="K213" s="8">
        <v>614.17999999999995</v>
      </c>
      <c r="L213" s="8">
        <v>102.5</v>
      </c>
      <c r="M213" s="8">
        <v>152.87</v>
      </c>
      <c r="N213" s="9">
        <v>2395.46</v>
      </c>
    </row>
    <row r="214" spans="1:14" x14ac:dyDescent="0.3">
      <c r="A214" s="10" t="s">
        <v>155</v>
      </c>
      <c r="B214" s="11">
        <v>1676.65</v>
      </c>
      <c r="C214" s="11">
        <v>1666.83</v>
      </c>
      <c r="D214" s="11">
        <v>1883.39</v>
      </c>
      <c r="E214" s="11">
        <v>1610.17</v>
      </c>
      <c r="F214" s="11">
        <v>1803.79</v>
      </c>
      <c r="G214" s="11">
        <v>1646.6000000000001</v>
      </c>
      <c r="H214" s="11">
        <v>1708</v>
      </c>
      <c r="I214" s="11">
        <v>1785.3500000000001</v>
      </c>
      <c r="J214" s="11">
        <v>1664.38</v>
      </c>
      <c r="K214" s="11">
        <v>2212.4</v>
      </c>
      <c r="L214" s="11">
        <v>1566.17</v>
      </c>
      <c r="M214" s="11">
        <v>1517.2400000000002</v>
      </c>
      <c r="N214" s="11">
        <v>20740.97</v>
      </c>
    </row>
    <row r="215" spans="1:14" x14ac:dyDescent="0.3">
      <c r="A215" s="14" t="s">
        <v>156</v>
      </c>
      <c r="B215" s="8">
        <v>747.78</v>
      </c>
      <c r="C215" s="8">
        <v>1627.72</v>
      </c>
      <c r="D215" s="8">
        <v>735.35</v>
      </c>
      <c r="E215" s="8">
        <v>922.6</v>
      </c>
      <c r="F215" s="8">
        <v>1095.8800000000001</v>
      </c>
      <c r="G215" s="8">
        <v>1606.81</v>
      </c>
      <c r="H215" s="8">
        <v>474.59</v>
      </c>
      <c r="I215" s="8">
        <v>641.58000000000004</v>
      </c>
      <c r="J215" s="8">
        <v>762.21</v>
      </c>
      <c r="K215" s="8">
        <v>423.83</v>
      </c>
      <c r="L215" s="8">
        <v>596.61</v>
      </c>
      <c r="M215" s="8">
        <v>372.57</v>
      </c>
      <c r="N215" s="9">
        <v>10007.530000000001</v>
      </c>
    </row>
    <row r="216" spans="1:14" x14ac:dyDescent="0.3">
      <c r="A216" s="10" t="s">
        <v>157</v>
      </c>
      <c r="B216" s="11">
        <v>2424.4300000000003</v>
      </c>
      <c r="C216" s="11">
        <v>3294.55</v>
      </c>
      <c r="D216" s="11">
        <v>2618.7400000000002</v>
      </c>
      <c r="E216" s="11">
        <v>2532.77</v>
      </c>
      <c r="F216" s="11">
        <v>2899.67</v>
      </c>
      <c r="G216" s="11">
        <v>3253.41</v>
      </c>
      <c r="H216" s="11">
        <v>2182.59</v>
      </c>
      <c r="I216" s="11">
        <v>2426.9300000000003</v>
      </c>
      <c r="J216" s="11">
        <v>2426.59</v>
      </c>
      <c r="K216" s="11">
        <v>2636.23</v>
      </c>
      <c r="L216" s="11">
        <v>2162.7800000000002</v>
      </c>
      <c r="M216" s="11">
        <v>1889.8100000000002</v>
      </c>
      <c r="N216" s="11">
        <v>30748.5</v>
      </c>
    </row>
    <row r="217" spans="1:14" x14ac:dyDescent="0.3">
      <c r="A217" s="13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</row>
    <row r="218" spans="1:14" x14ac:dyDescent="0.3">
      <c r="A218" s="13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</row>
    <row r="219" spans="1:14" x14ac:dyDescent="0.3">
      <c r="A219" s="14" t="s">
        <v>158</v>
      </c>
      <c r="B219" s="8">
        <v>0</v>
      </c>
      <c r="C219" s="8">
        <v>0</v>
      </c>
      <c r="D219" s="8">
        <v>0</v>
      </c>
      <c r="E219" s="8">
        <v>0</v>
      </c>
      <c r="F219" s="8">
        <v>0</v>
      </c>
      <c r="G219" s="8">
        <v>0</v>
      </c>
      <c r="H219" s="8">
        <v>0</v>
      </c>
      <c r="I219" s="8">
        <v>0</v>
      </c>
      <c r="J219" s="8">
        <v>0</v>
      </c>
      <c r="K219" s="8">
        <v>0</v>
      </c>
      <c r="L219" s="8">
        <v>0</v>
      </c>
      <c r="M219" s="8">
        <v>0</v>
      </c>
      <c r="N219" s="9">
        <v>0</v>
      </c>
    </row>
    <row r="220" spans="1:14" x14ac:dyDescent="0.3">
      <c r="A220" s="14" t="s">
        <v>159</v>
      </c>
      <c r="B220" s="8">
        <v>800.38</v>
      </c>
      <c r="C220" s="8">
        <v>1351.66</v>
      </c>
      <c r="D220" s="8">
        <v>709.45</v>
      </c>
      <c r="E220" s="8">
        <v>724.5</v>
      </c>
      <c r="F220" s="8">
        <v>973.43</v>
      </c>
      <c r="G220" s="8">
        <v>1586.73</v>
      </c>
      <c r="H220" s="8">
        <v>1324.9</v>
      </c>
      <c r="I220" s="8">
        <v>1118.27</v>
      </c>
      <c r="J220" s="8">
        <v>863.17</v>
      </c>
      <c r="K220" s="8">
        <v>620.57000000000005</v>
      </c>
      <c r="L220" s="8">
        <v>547.25</v>
      </c>
      <c r="M220" s="8">
        <v>1364.29</v>
      </c>
      <c r="N220" s="9">
        <v>11984.6</v>
      </c>
    </row>
    <row r="221" spans="1:14" x14ac:dyDescent="0.3">
      <c r="A221" s="14" t="s">
        <v>160</v>
      </c>
      <c r="B221" s="8">
        <v>-502.32</v>
      </c>
      <c r="C221" s="8">
        <v>0</v>
      </c>
      <c r="D221" s="8">
        <v>0</v>
      </c>
      <c r="E221" s="8">
        <v>1467.42</v>
      </c>
      <c r="F221" s="8">
        <v>833.63</v>
      </c>
      <c r="G221" s="8">
        <v>5237.24</v>
      </c>
      <c r="H221" s="8">
        <v>2550.2600000000002</v>
      </c>
      <c r="I221" s="8">
        <v>3158.87</v>
      </c>
      <c r="J221" s="8">
        <v>0</v>
      </c>
      <c r="K221" s="8">
        <v>6006.94</v>
      </c>
      <c r="L221" s="8">
        <v>0</v>
      </c>
      <c r="M221" s="8">
        <v>588.66</v>
      </c>
      <c r="N221" s="9">
        <v>19340.7</v>
      </c>
    </row>
    <row r="222" spans="1:14" x14ac:dyDescent="0.3">
      <c r="A222" s="14" t="s">
        <v>161</v>
      </c>
      <c r="B222" s="8">
        <v>0</v>
      </c>
      <c r="C222" s="8">
        <v>0</v>
      </c>
      <c r="D222" s="8">
        <v>0</v>
      </c>
      <c r="E222" s="8">
        <v>22.43</v>
      </c>
      <c r="F222" s="8">
        <v>30</v>
      </c>
      <c r="G222" s="8">
        <v>0</v>
      </c>
      <c r="H222" s="8">
        <v>22.43</v>
      </c>
      <c r="I222" s="8">
        <v>0</v>
      </c>
      <c r="J222" s="8">
        <v>0</v>
      </c>
      <c r="K222" s="8">
        <v>22.43</v>
      </c>
      <c r="L222" s="8">
        <v>0</v>
      </c>
      <c r="M222" s="8">
        <v>0</v>
      </c>
      <c r="N222" s="9">
        <v>97.29</v>
      </c>
    </row>
    <row r="223" spans="1:14" x14ac:dyDescent="0.3">
      <c r="A223" s="14" t="s">
        <v>162</v>
      </c>
      <c r="B223" s="8">
        <v>0</v>
      </c>
      <c r="C223" s="8">
        <v>0</v>
      </c>
      <c r="D223" s="8">
        <v>9.9499999999999993</v>
      </c>
      <c r="E223" s="8">
        <v>0</v>
      </c>
      <c r="F223" s="8">
        <v>0</v>
      </c>
      <c r="G223" s="8">
        <v>0</v>
      </c>
      <c r="H223" s="8">
        <v>0</v>
      </c>
      <c r="I223" s="8">
        <v>0</v>
      </c>
      <c r="J223" s="8">
        <v>0</v>
      </c>
      <c r="K223" s="8">
        <v>0</v>
      </c>
      <c r="L223" s="8">
        <v>0</v>
      </c>
      <c r="M223" s="8">
        <v>0</v>
      </c>
      <c r="N223" s="9">
        <v>9.9499999999999993</v>
      </c>
    </row>
    <row r="224" spans="1:14" x14ac:dyDescent="0.3">
      <c r="A224" s="14" t="s">
        <v>24</v>
      </c>
      <c r="B224" s="8">
        <v>0</v>
      </c>
      <c r="C224" s="8">
        <v>0</v>
      </c>
      <c r="D224" s="8">
        <v>0</v>
      </c>
      <c r="E224" s="8">
        <v>0</v>
      </c>
      <c r="F224" s="8">
        <v>0</v>
      </c>
      <c r="G224" s="8">
        <v>0</v>
      </c>
      <c r="H224" s="8">
        <v>0</v>
      </c>
      <c r="I224" s="8">
        <v>0</v>
      </c>
      <c r="J224" s="8">
        <v>0</v>
      </c>
      <c r="K224" s="8">
        <v>0</v>
      </c>
      <c r="L224" s="8">
        <v>0</v>
      </c>
      <c r="M224" s="8">
        <v>0</v>
      </c>
      <c r="N224" s="9">
        <v>0</v>
      </c>
    </row>
    <row r="225" spans="1:14" x14ac:dyDescent="0.3">
      <c r="A225" s="14" t="s">
        <v>163</v>
      </c>
      <c r="B225" s="8">
        <v>25.82</v>
      </c>
      <c r="C225" s="8">
        <v>25.73</v>
      </c>
      <c r="D225" s="8">
        <v>25.82</v>
      </c>
      <c r="E225" s="8">
        <v>25.75</v>
      </c>
      <c r="F225" s="8">
        <v>25.78</v>
      </c>
      <c r="G225" s="8">
        <v>25.76</v>
      </c>
      <c r="H225" s="8">
        <v>25.76</v>
      </c>
      <c r="I225" s="8">
        <v>25.98</v>
      </c>
      <c r="J225" s="8">
        <v>25.89</v>
      </c>
      <c r="K225" s="8">
        <v>25.83</v>
      </c>
      <c r="L225" s="8">
        <v>25.77</v>
      </c>
      <c r="M225" s="8">
        <v>25.73</v>
      </c>
      <c r="N225" s="9">
        <v>309.62</v>
      </c>
    </row>
    <row r="226" spans="1:14" x14ac:dyDescent="0.3">
      <c r="A226" s="14" t="s">
        <v>164</v>
      </c>
      <c r="B226" s="8">
        <v>459.74</v>
      </c>
      <c r="C226" s="8">
        <v>0</v>
      </c>
      <c r="D226" s="8">
        <v>248.89</v>
      </c>
      <c r="E226" s="8">
        <v>745.5</v>
      </c>
      <c r="F226" s="8">
        <v>29.15</v>
      </c>
      <c r="G226" s="8">
        <v>0</v>
      </c>
      <c r="H226" s="8">
        <v>0</v>
      </c>
      <c r="I226" s="8">
        <v>12.59</v>
      </c>
      <c r="J226" s="8">
        <v>0</v>
      </c>
      <c r="K226" s="8">
        <v>0</v>
      </c>
      <c r="L226" s="8">
        <v>151.18</v>
      </c>
      <c r="M226" s="8">
        <v>1050</v>
      </c>
      <c r="N226" s="9">
        <v>2697.05</v>
      </c>
    </row>
    <row r="227" spans="1:14" x14ac:dyDescent="0.3">
      <c r="A227" s="10" t="s">
        <v>165</v>
      </c>
      <c r="B227" s="11">
        <v>4975.7400000000007</v>
      </c>
      <c r="C227" s="11">
        <v>7346.92</v>
      </c>
      <c r="D227" s="11">
        <v>5531.79</v>
      </c>
      <c r="E227" s="11">
        <v>8367.42</v>
      </c>
      <c r="F227" s="11">
        <v>10435.06</v>
      </c>
      <c r="G227" s="11">
        <v>12163.72</v>
      </c>
      <c r="H227" s="11">
        <v>8603.1</v>
      </c>
      <c r="I227" s="11">
        <v>8660.5</v>
      </c>
      <c r="J227" s="11">
        <v>5075.2700000000004</v>
      </c>
      <c r="K227" s="11">
        <v>20586.810000000001</v>
      </c>
      <c r="L227" s="11">
        <v>522.04999999999995</v>
      </c>
      <c r="M227" s="11">
        <v>9250.98</v>
      </c>
      <c r="N227" s="11">
        <v>101519.36</v>
      </c>
    </row>
    <row r="228" spans="1:14" x14ac:dyDescent="0.3">
      <c r="A228" s="13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</row>
    <row r="229" spans="1:14" x14ac:dyDescent="0.3">
      <c r="A229" s="10" t="s">
        <v>166</v>
      </c>
      <c r="B229" s="16">
        <v>11282.080000000002</v>
      </c>
      <c r="C229" s="16">
        <v>13653.310000000001</v>
      </c>
      <c r="D229" s="16">
        <v>11558.57</v>
      </c>
      <c r="E229" s="16">
        <v>14334.560000000001</v>
      </c>
      <c r="F229" s="16">
        <v>16504.39</v>
      </c>
      <c r="G229" s="16">
        <v>18882.989999999998</v>
      </c>
      <c r="H229" s="16">
        <v>14914.78</v>
      </c>
      <c r="I229" s="16">
        <v>15082.48</v>
      </c>
      <c r="J229" s="16">
        <v>11638.73</v>
      </c>
      <c r="K229" s="16">
        <v>27166.959999999999</v>
      </c>
      <c r="L229" s="16">
        <v>7231.53</v>
      </c>
      <c r="M229" s="16">
        <v>16008.21</v>
      </c>
      <c r="N229" s="16">
        <v>178258.59000000003</v>
      </c>
    </row>
    <row r="230" spans="1:14" x14ac:dyDescent="0.3">
      <c r="A230" s="13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</row>
    <row r="231" spans="1:14" ht="15" thickBot="1" x14ac:dyDescent="0.35">
      <c r="A231" s="10" t="s">
        <v>167</v>
      </c>
      <c r="B231" s="20">
        <v>196580.23000000004</v>
      </c>
      <c r="C231" s="20">
        <v>195735.22</v>
      </c>
      <c r="D231" s="20">
        <v>179013.18999999997</v>
      </c>
      <c r="E231" s="20">
        <v>185507.93000000002</v>
      </c>
      <c r="F231" s="20">
        <v>221277.91999999998</v>
      </c>
      <c r="G231" s="20">
        <v>208378.58</v>
      </c>
      <c r="H231" s="20">
        <v>199118.03</v>
      </c>
      <c r="I231" s="20">
        <v>228235.49000000002</v>
      </c>
      <c r="J231" s="20">
        <v>207757.78000000003</v>
      </c>
      <c r="K231" s="20">
        <v>231180.61999999997</v>
      </c>
      <c r="L231" s="20">
        <v>159912.95999999999</v>
      </c>
      <c r="M231" s="20">
        <v>174998.28999999998</v>
      </c>
      <c r="N231" s="20">
        <v>2387696.2399999998</v>
      </c>
    </row>
    <row r="232" spans="1:14" x14ac:dyDescent="0.3">
      <c r="A232" s="13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21"/>
    </row>
    <row r="233" spans="1:14" x14ac:dyDescent="0.3">
      <c r="A233" s="10" t="s">
        <v>168</v>
      </c>
      <c r="B233" s="11">
        <v>89642.429999999935</v>
      </c>
      <c r="C233" s="11">
        <v>82810.78</v>
      </c>
      <c r="D233" s="11">
        <v>111006.50000000003</v>
      </c>
      <c r="E233" s="11">
        <v>119254.56999999992</v>
      </c>
      <c r="F233" s="11">
        <v>127015.32999999996</v>
      </c>
      <c r="G233" s="11">
        <v>163306.26000000004</v>
      </c>
      <c r="H233" s="11">
        <v>142284.93000000002</v>
      </c>
      <c r="I233" s="11">
        <v>119218.20999999993</v>
      </c>
      <c r="J233" s="11">
        <v>137298.33999999991</v>
      </c>
      <c r="K233" s="11">
        <v>97248.060000000027</v>
      </c>
      <c r="L233" s="11">
        <v>146570.74000000002</v>
      </c>
      <c r="M233" s="11">
        <v>106932.25999999995</v>
      </c>
      <c r="N233" s="11">
        <v>1442588.4100000001</v>
      </c>
    </row>
    <row r="234" spans="1:14" x14ac:dyDescent="0.3">
      <c r="A234" s="13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</row>
    <row r="235" spans="1:14" x14ac:dyDescent="0.3">
      <c r="A235" s="13" t="s">
        <v>169</v>
      </c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</row>
    <row r="236" spans="1:14" x14ac:dyDescent="0.3">
      <c r="A236" s="14" t="s">
        <v>170</v>
      </c>
      <c r="B236" s="8">
        <v>9571.32</v>
      </c>
      <c r="C236" s="8">
        <v>8912.02</v>
      </c>
      <c r="D236" s="8">
        <v>9153.89</v>
      </c>
      <c r="E236" s="8">
        <v>10409.06</v>
      </c>
      <c r="F236" s="8">
        <v>9901.3700000000008</v>
      </c>
      <c r="G236" s="8">
        <v>9819.5300000000007</v>
      </c>
      <c r="H236" s="8">
        <v>11396.13</v>
      </c>
      <c r="I236" s="8">
        <v>9899.2999999999993</v>
      </c>
      <c r="J236" s="8">
        <v>9920.86</v>
      </c>
      <c r="K236" s="8">
        <v>10589.88</v>
      </c>
      <c r="L236" s="8">
        <v>10937.66</v>
      </c>
      <c r="M236" s="8">
        <v>11465.17</v>
      </c>
      <c r="N236" s="9">
        <v>121976.19</v>
      </c>
    </row>
    <row r="237" spans="1:14" x14ac:dyDescent="0.3">
      <c r="A237" s="14" t="s">
        <v>171</v>
      </c>
      <c r="B237" s="8">
        <v>2674.86</v>
      </c>
      <c r="C237" s="8">
        <v>2469.09</v>
      </c>
      <c r="D237" s="8">
        <v>2391.21</v>
      </c>
      <c r="E237" s="8">
        <v>2513.9899999999998</v>
      </c>
      <c r="F237" s="8">
        <v>2452.2199999999998</v>
      </c>
      <c r="G237" s="8">
        <v>2173</v>
      </c>
      <c r="H237" s="8">
        <v>2504.09</v>
      </c>
      <c r="I237" s="8">
        <v>2263.67</v>
      </c>
      <c r="J237" s="8">
        <v>2085.88</v>
      </c>
      <c r="K237" s="8">
        <v>2297.52</v>
      </c>
      <c r="L237" s="8">
        <v>2317.84</v>
      </c>
      <c r="M237" s="8">
        <v>2497.48</v>
      </c>
      <c r="N237" s="9">
        <v>28640.85</v>
      </c>
    </row>
    <row r="238" spans="1:14" x14ac:dyDescent="0.3">
      <c r="A238" s="14" t="s">
        <v>172</v>
      </c>
      <c r="B238" s="8">
        <v>934.11</v>
      </c>
      <c r="C238" s="8">
        <v>889.74</v>
      </c>
      <c r="D238" s="8">
        <v>863.64</v>
      </c>
      <c r="E238" s="8">
        <v>900.36</v>
      </c>
      <c r="F238" s="8">
        <v>938.47</v>
      </c>
      <c r="G238" s="8">
        <v>804.99</v>
      </c>
      <c r="H238" s="8">
        <v>903.21</v>
      </c>
      <c r="I238" s="8">
        <v>842.47</v>
      </c>
      <c r="J238" s="8">
        <v>833.9</v>
      </c>
      <c r="K238" s="8">
        <v>895.72</v>
      </c>
      <c r="L238" s="8">
        <v>889.67</v>
      </c>
      <c r="M238" s="8">
        <v>963.19</v>
      </c>
      <c r="N238" s="9">
        <v>10659.47</v>
      </c>
    </row>
    <row r="239" spans="1:14" x14ac:dyDescent="0.3">
      <c r="A239" s="14" t="s">
        <v>173</v>
      </c>
      <c r="B239" s="8">
        <v>264.55</v>
      </c>
      <c r="C239" s="8">
        <v>319.61</v>
      </c>
      <c r="D239" s="8">
        <v>312.16000000000003</v>
      </c>
      <c r="E239" s="8">
        <v>302.42</v>
      </c>
      <c r="F239" s="8">
        <v>404.97</v>
      </c>
      <c r="G239" s="8">
        <v>334.11</v>
      </c>
      <c r="H239" s="8">
        <v>393.36</v>
      </c>
      <c r="I239" s="8">
        <v>356.54</v>
      </c>
      <c r="J239" s="8">
        <v>309.26</v>
      </c>
      <c r="K239" s="8">
        <v>308.95999999999998</v>
      </c>
      <c r="L239" s="8">
        <v>315.64999999999998</v>
      </c>
      <c r="M239" s="8">
        <v>345.3</v>
      </c>
      <c r="N239" s="9">
        <v>3966.89</v>
      </c>
    </row>
    <row r="240" spans="1:14" x14ac:dyDescent="0.3">
      <c r="A240" s="14" t="s">
        <v>174</v>
      </c>
      <c r="B240" s="8">
        <v>1104.46</v>
      </c>
      <c r="C240" s="8">
        <v>1085.5</v>
      </c>
      <c r="D240" s="8">
        <v>1082.93</v>
      </c>
      <c r="E240" s="8">
        <v>1044.96</v>
      </c>
      <c r="F240" s="8">
        <v>1033.48</v>
      </c>
      <c r="G240" s="8">
        <v>862.14</v>
      </c>
      <c r="H240" s="8">
        <v>1053.7</v>
      </c>
      <c r="I240" s="8">
        <v>955.51</v>
      </c>
      <c r="J240" s="8">
        <v>950.38</v>
      </c>
      <c r="K240" s="8">
        <v>1017.72</v>
      </c>
      <c r="L240" s="8">
        <v>986.76</v>
      </c>
      <c r="M240" s="8">
        <v>1066.3499999999999</v>
      </c>
      <c r="N240" s="9">
        <v>12243.89</v>
      </c>
    </row>
    <row r="241" spans="1:14" x14ac:dyDescent="0.3">
      <c r="A241" s="14" t="s">
        <v>175</v>
      </c>
      <c r="B241" s="8">
        <v>3395.74</v>
      </c>
      <c r="C241" s="8">
        <v>3374.88</v>
      </c>
      <c r="D241" s="8">
        <v>3291.21</v>
      </c>
      <c r="E241" s="8">
        <v>3237.62</v>
      </c>
      <c r="F241" s="8">
        <v>3251.49</v>
      </c>
      <c r="G241" s="8">
        <v>2997.33</v>
      </c>
      <c r="H241" s="8">
        <v>3148.09</v>
      </c>
      <c r="I241" s="8">
        <v>3008.26</v>
      </c>
      <c r="J241" s="8">
        <v>3147.77</v>
      </c>
      <c r="K241" s="8">
        <v>3204.54</v>
      </c>
      <c r="L241" s="8">
        <v>3355.65</v>
      </c>
      <c r="M241" s="8">
        <v>3509.03</v>
      </c>
      <c r="N241" s="9">
        <v>38921.61</v>
      </c>
    </row>
    <row r="242" spans="1:14" x14ac:dyDescent="0.3">
      <c r="A242" s="22" t="s">
        <v>176</v>
      </c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</row>
    <row r="243" spans="1:14" x14ac:dyDescent="0.3">
      <c r="A243" s="14" t="s">
        <v>177</v>
      </c>
      <c r="B243" s="8">
        <v>7833.73</v>
      </c>
      <c r="C243" s="8">
        <v>8005.85</v>
      </c>
      <c r="D243" s="8">
        <v>7421.76</v>
      </c>
      <c r="E243" s="8">
        <v>7819.35</v>
      </c>
      <c r="F243" s="8">
        <v>7293.08</v>
      </c>
      <c r="G243" s="8">
        <v>6691.52</v>
      </c>
      <c r="H243" s="8">
        <v>7940.92</v>
      </c>
      <c r="I243" s="8">
        <v>9211.91</v>
      </c>
      <c r="J243" s="8">
        <v>7050.51</v>
      </c>
      <c r="K243" s="8">
        <v>7088.07</v>
      </c>
      <c r="L243" s="8">
        <v>6965.5</v>
      </c>
      <c r="M243" s="8">
        <v>7406.85</v>
      </c>
      <c r="N243" s="9">
        <v>90729.05</v>
      </c>
    </row>
    <row r="244" spans="1:14" x14ac:dyDescent="0.3">
      <c r="A244" s="14" t="s">
        <v>178</v>
      </c>
      <c r="B244" s="8">
        <v>1565.59</v>
      </c>
      <c r="C244" s="8">
        <v>1592.71</v>
      </c>
      <c r="D244" s="8">
        <v>1324.49</v>
      </c>
      <c r="E244" s="8">
        <v>1340.63</v>
      </c>
      <c r="F244" s="8">
        <v>1383.47</v>
      </c>
      <c r="G244" s="8">
        <v>1178.3800000000001</v>
      </c>
      <c r="H244" s="8">
        <v>1556.25</v>
      </c>
      <c r="I244" s="8">
        <v>1247.3399999999999</v>
      </c>
      <c r="J244" s="8">
        <v>1405.86</v>
      </c>
      <c r="K244" s="8">
        <v>1692.24</v>
      </c>
      <c r="L244" s="8">
        <v>1289.8399999999999</v>
      </c>
      <c r="M244" s="8">
        <v>1394.23</v>
      </c>
      <c r="N244" s="9">
        <v>16971.03</v>
      </c>
    </row>
    <row r="245" spans="1:14" x14ac:dyDescent="0.3">
      <c r="A245" s="14" t="s">
        <v>179</v>
      </c>
      <c r="B245" s="8">
        <v>0.31</v>
      </c>
      <c r="C245" s="8">
        <v>0.31</v>
      </c>
      <c r="D245" s="8">
        <v>0.31</v>
      </c>
      <c r="E245" s="8">
        <v>0.3</v>
      </c>
      <c r="F245" s="8">
        <v>0.3</v>
      </c>
      <c r="G245" s="8">
        <v>0.28000000000000003</v>
      </c>
      <c r="H245" s="8">
        <v>0.28999999999999998</v>
      </c>
      <c r="I245" s="8">
        <v>0.28000000000000003</v>
      </c>
      <c r="J245" s="8">
        <v>0.28999999999999998</v>
      </c>
      <c r="K245" s="8">
        <v>0.3</v>
      </c>
      <c r="L245" s="8">
        <v>0.31</v>
      </c>
      <c r="M245" s="8">
        <v>0.33</v>
      </c>
      <c r="N245" s="9">
        <v>3.61</v>
      </c>
    </row>
    <row r="246" spans="1:14" x14ac:dyDescent="0.3">
      <c r="A246" s="14" t="s">
        <v>180</v>
      </c>
      <c r="B246" s="8">
        <v>316.87</v>
      </c>
      <c r="C246" s="8">
        <v>272.57</v>
      </c>
      <c r="D246" s="8">
        <v>260.27999999999997</v>
      </c>
      <c r="E246" s="8">
        <v>270.17</v>
      </c>
      <c r="F246" s="8">
        <v>269.16000000000003</v>
      </c>
      <c r="G246" s="8">
        <v>220.53</v>
      </c>
      <c r="H246" s="8">
        <v>259.93</v>
      </c>
      <c r="I246" s="8">
        <v>234.04</v>
      </c>
      <c r="J246" s="8">
        <v>238.35</v>
      </c>
      <c r="K246" s="8">
        <v>256.47000000000003</v>
      </c>
      <c r="L246" s="8">
        <v>253.01</v>
      </c>
      <c r="M246" s="8">
        <v>277.07</v>
      </c>
      <c r="N246" s="9">
        <v>3128.45</v>
      </c>
    </row>
    <row r="247" spans="1:14" x14ac:dyDescent="0.3">
      <c r="A247" s="14" t="s">
        <v>181</v>
      </c>
      <c r="B247" s="8">
        <v>1471</v>
      </c>
      <c r="C247" s="8">
        <v>2822.06</v>
      </c>
      <c r="D247" s="8">
        <v>166.39</v>
      </c>
      <c r="E247" s="8">
        <v>-6105.48</v>
      </c>
      <c r="F247" s="8">
        <v>198.66</v>
      </c>
      <c r="G247" s="8">
        <v>749.31</v>
      </c>
      <c r="H247" s="8">
        <v>988.92</v>
      </c>
      <c r="I247" s="8">
        <v>928.48</v>
      </c>
      <c r="J247" s="8">
        <v>903.52</v>
      </c>
      <c r="K247" s="8">
        <v>1027.01</v>
      </c>
      <c r="L247" s="8">
        <v>187.6</v>
      </c>
      <c r="M247" s="8">
        <v>1.39</v>
      </c>
      <c r="N247" s="9">
        <v>3338.86</v>
      </c>
    </row>
    <row r="248" spans="1:14" x14ac:dyDescent="0.3">
      <c r="A248" s="14" t="s">
        <v>182</v>
      </c>
      <c r="B248" s="8">
        <v>350.99</v>
      </c>
      <c r="C248" s="8">
        <v>351.25</v>
      </c>
      <c r="D248" s="8">
        <v>325.02999999999997</v>
      </c>
      <c r="E248" s="8">
        <v>337.79</v>
      </c>
      <c r="F248" s="8">
        <v>336.39</v>
      </c>
      <c r="G248" s="8">
        <v>287.14999999999998</v>
      </c>
      <c r="H248" s="8">
        <v>330.69</v>
      </c>
      <c r="I248" s="8">
        <v>303.61</v>
      </c>
      <c r="J248" s="8">
        <v>299.19</v>
      </c>
      <c r="K248" s="8">
        <v>328.18</v>
      </c>
      <c r="L248" s="8">
        <v>325.51</v>
      </c>
      <c r="M248" s="8">
        <v>355.92</v>
      </c>
      <c r="N248" s="9">
        <v>3931.7</v>
      </c>
    </row>
    <row r="249" spans="1:14" x14ac:dyDescent="0.3">
      <c r="A249" s="14" t="s">
        <v>183</v>
      </c>
      <c r="B249" s="8">
        <v>1260.3699999999999</v>
      </c>
      <c r="C249" s="8">
        <v>1156.05</v>
      </c>
      <c r="D249" s="8">
        <v>1187.81</v>
      </c>
      <c r="E249" s="8">
        <v>1760.64</v>
      </c>
      <c r="F249" s="8">
        <v>1521.55</v>
      </c>
      <c r="G249" s="8">
        <v>1463.51</v>
      </c>
      <c r="H249" s="8">
        <v>1600.48</v>
      </c>
      <c r="I249" s="8">
        <v>1399.61</v>
      </c>
      <c r="J249" s="8">
        <v>1499.05</v>
      </c>
      <c r="K249" s="8">
        <v>1610.33</v>
      </c>
      <c r="L249" s="8">
        <v>1574.92</v>
      </c>
      <c r="M249" s="8">
        <v>1741.44</v>
      </c>
      <c r="N249" s="9">
        <v>17775.759999999998</v>
      </c>
    </row>
    <row r="250" spans="1:14" x14ac:dyDescent="0.3">
      <c r="A250" s="14" t="s">
        <v>184</v>
      </c>
      <c r="B250" s="8">
        <v>2060.83</v>
      </c>
      <c r="C250" s="8">
        <v>2007.03</v>
      </c>
      <c r="D250" s="8">
        <v>1915.84</v>
      </c>
      <c r="E250" s="8">
        <v>1975.51</v>
      </c>
      <c r="F250" s="8">
        <v>1963.45</v>
      </c>
      <c r="G250" s="8">
        <v>1610.37</v>
      </c>
      <c r="H250" s="8">
        <v>1936.39</v>
      </c>
      <c r="I250" s="8">
        <v>1737.58</v>
      </c>
      <c r="J250" s="8">
        <v>1717.62</v>
      </c>
      <c r="K250" s="8">
        <v>1905.49</v>
      </c>
      <c r="L250" s="8">
        <v>1858.55</v>
      </c>
      <c r="M250" s="8">
        <v>2023.01</v>
      </c>
      <c r="N250" s="9">
        <v>22711.67</v>
      </c>
    </row>
    <row r="251" spans="1:14" x14ac:dyDescent="0.3">
      <c r="A251" s="10" t="s">
        <v>185</v>
      </c>
      <c r="B251" s="11">
        <v>32804.730000000003</v>
      </c>
      <c r="C251" s="11">
        <v>33258.670000000006</v>
      </c>
      <c r="D251" s="11">
        <v>29696.949999999997</v>
      </c>
      <c r="E251" s="11">
        <v>25807.32</v>
      </c>
      <c r="F251" s="11">
        <v>30948.06</v>
      </c>
      <c r="G251" s="11">
        <v>29192.149999999998</v>
      </c>
      <c r="H251" s="11">
        <v>34012.449999999997</v>
      </c>
      <c r="I251" s="11">
        <v>32388.6</v>
      </c>
      <c r="J251" s="11">
        <v>30362.439999999995</v>
      </c>
      <c r="K251" s="11">
        <v>32222.429999999997</v>
      </c>
      <c r="L251" s="11">
        <v>31258.469999999998</v>
      </c>
      <c r="M251" s="11">
        <v>33046.76</v>
      </c>
      <c r="N251" s="11">
        <v>374999.02999999997</v>
      </c>
    </row>
    <row r="252" spans="1:14" x14ac:dyDescent="0.3">
      <c r="A252" s="13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</row>
    <row r="253" spans="1:14" ht="15" thickBot="1" x14ac:dyDescent="0.35">
      <c r="A253" s="10" t="s">
        <v>186</v>
      </c>
      <c r="B253" s="23">
        <v>56837.699999999932</v>
      </c>
      <c r="C253" s="23">
        <v>49552.109999999993</v>
      </c>
      <c r="D253" s="23">
        <v>81309.550000000032</v>
      </c>
      <c r="E253" s="23">
        <v>93447.249999999913</v>
      </c>
      <c r="F253" s="23">
        <v>96067.26999999996</v>
      </c>
      <c r="G253" s="23">
        <v>134114.11000000004</v>
      </c>
      <c r="H253" s="23">
        <v>108272.48000000003</v>
      </c>
      <c r="I253" s="23">
        <v>86829.609999999928</v>
      </c>
      <c r="J253" s="23">
        <v>106935.89999999991</v>
      </c>
      <c r="K253" s="23">
        <v>65025.630000000034</v>
      </c>
      <c r="L253" s="23">
        <v>115312.27000000002</v>
      </c>
      <c r="M253" s="23">
        <v>73885.499999999942</v>
      </c>
      <c r="N253" s="23">
        <v>1067589.3800000001</v>
      </c>
    </row>
    <row r="254" spans="1:14" ht="15" thickTop="1" x14ac:dyDescent="0.3">
      <c r="A254" s="13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</row>
    <row r="255" spans="1:14" x14ac:dyDescent="0.3">
      <c r="A255" s="14" t="s">
        <v>187</v>
      </c>
      <c r="B255" s="24">
        <v>0</v>
      </c>
      <c r="C255" s="24">
        <v>0</v>
      </c>
      <c r="D255" s="24">
        <v>0</v>
      </c>
      <c r="E255" s="24">
        <v>0</v>
      </c>
      <c r="F255" s="24">
        <v>0</v>
      </c>
      <c r="G255" s="24">
        <v>0</v>
      </c>
      <c r="H255" s="24">
        <v>0</v>
      </c>
      <c r="I255" s="24">
        <v>0</v>
      </c>
      <c r="J255" s="24">
        <v>0</v>
      </c>
      <c r="K255" s="24">
        <v>0</v>
      </c>
      <c r="L255" s="24">
        <v>0</v>
      </c>
      <c r="M255" s="24">
        <v>0</v>
      </c>
      <c r="N255" s="16">
        <v>0</v>
      </c>
    </row>
    <row r="256" spans="1:14" x14ac:dyDescent="0.3">
      <c r="A256" s="13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</row>
    <row r="257" spans="1:14" x14ac:dyDescent="0.3">
      <c r="A257" s="10" t="s">
        <v>188</v>
      </c>
      <c r="B257" s="16">
        <v>56837.699999999932</v>
      </c>
      <c r="C257" s="16">
        <v>49552.109999999993</v>
      </c>
      <c r="D257" s="16">
        <v>81309.550000000032</v>
      </c>
      <c r="E257" s="16">
        <v>93447.249999999913</v>
      </c>
      <c r="F257" s="16">
        <v>96067.26999999996</v>
      </c>
      <c r="G257" s="16">
        <v>134114.11000000004</v>
      </c>
      <c r="H257" s="16">
        <v>108272.48000000003</v>
      </c>
      <c r="I257" s="16">
        <v>86829.609999999928</v>
      </c>
      <c r="J257" s="16">
        <v>106935.89999999991</v>
      </c>
      <c r="K257" s="16">
        <v>65025.630000000034</v>
      </c>
      <c r="L257" s="16">
        <v>115312.27000000002</v>
      </c>
      <c r="M257" s="16">
        <v>73885.499999999942</v>
      </c>
      <c r="N257" s="16">
        <v>1067589.3800000001</v>
      </c>
    </row>
    <row r="258" spans="1:14" x14ac:dyDescent="0.3">
      <c r="A258" s="13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</row>
    <row r="259" spans="1:14" x14ac:dyDescent="0.3">
      <c r="A259" s="14" t="s">
        <v>189</v>
      </c>
      <c r="B259" s="8">
        <v>8586.68</v>
      </c>
      <c r="C259" s="8">
        <v>8356.3799999999992</v>
      </c>
      <c r="D259" s="8">
        <v>8700.59</v>
      </c>
      <c r="E259" s="8">
        <v>9142.8799999999992</v>
      </c>
      <c r="F259" s="8">
        <v>10448.790000000001</v>
      </c>
      <c r="G259" s="8">
        <v>11150.55</v>
      </c>
      <c r="H259" s="8">
        <v>10242.09</v>
      </c>
      <c r="I259" s="8">
        <v>10423.61</v>
      </c>
      <c r="J259" s="8">
        <v>10351.68</v>
      </c>
      <c r="K259" s="8">
        <v>9852.86</v>
      </c>
      <c r="L259" s="8">
        <v>9194.51</v>
      </c>
      <c r="M259" s="8">
        <v>8457.92</v>
      </c>
      <c r="N259" s="9">
        <v>114908.54</v>
      </c>
    </row>
    <row r="260" spans="1:14" x14ac:dyDescent="0.3">
      <c r="A260" s="14" t="s">
        <v>190</v>
      </c>
      <c r="B260" s="8">
        <v>556.82000000000005</v>
      </c>
      <c r="C260" s="8">
        <v>556.82000000000005</v>
      </c>
      <c r="D260" s="8">
        <v>556.82000000000005</v>
      </c>
      <c r="E260" s="8">
        <v>556.82000000000005</v>
      </c>
      <c r="F260" s="8">
        <v>556.82000000000005</v>
      </c>
      <c r="G260" s="8">
        <v>556.82000000000005</v>
      </c>
      <c r="H260" s="8">
        <v>556.82000000000005</v>
      </c>
      <c r="I260" s="8">
        <v>556.82000000000005</v>
      </c>
      <c r="J260" s="8">
        <v>556.82000000000005</v>
      </c>
      <c r="K260" s="8">
        <v>556.82000000000005</v>
      </c>
      <c r="L260" s="8">
        <v>556.82000000000005</v>
      </c>
      <c r="M260" s="8">
        <v>556.82000000000005</v>
      </c>
      <c r="N260" s="9">
        <v>6681.84</v>
      </c>
    </row>
    <row r="261" spans="1:14" x14ac:dyDescent="0.3">
      <c r="A261" s="14" t="s">
        <v>191</v>
      </c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</row>
    <row r="262" spans="1:14" x14ac:dyDescent="0.3">
      <c r="A262" s="14" t="s">
        <v>192</v>
      </c>
      <c r="B262" s="24">
        <v>0</v>
      </c>
      <c r="C262" s="24">
        <v>0</v>
      </c>
      <c r="D262" s="24">
        <v>0</v>
      </c>
      <c r="E262" s="24">
        <v>0</v>
      </c>
      <c r="F262" s="24">
        <v>0</v>
      </c>
      <c r="G262" s="24">
        <v>0</v>
      </c>
      <c r="H262" s="24">
        <v>0</v>
      </c>
      <c r="I262" s="24">
        <v>0</v>
      </c>
      <c r="J262" s="24">
        <v>0</v>
      </c>
      <c r="K262" s="24">
        <v>0</v>
      </c>
      <c r="L262" s="24">
        <v>0</v>
      </c>
      <c r="M262" s="24">
        <v>0</v>
      </c>
      <c r="N262" s="16">
        <v>0</v>
      </c>
    </row>
    <row r="263" spans="1:14" x14ac:dyDescent="0.3">
      <c r="A263" s="10" t="s">
        <v>193</v>
      </c>
      <c r="B263" s="16">
        <v>47694.199999999932</v>
      </c>
      <c r="C263" s="16">
        <v>40638.909999999996</v>
      </c>
      <c r="D263" s="16">
        <v>72052.140000000029</v>
      </c>
      <c r="E263" s="16">
        <v>83747.549999999916</v>
      </c>
      <c r="F263" s="16">
        <v>85061.65999999996</v>
      </c>
      <c r="G263" s="16">
        <v>122406.74000000005</v>
      </c>
      <c r="H263" s="16">
        <v>97473.570000000022</v>
      </c>
      <c r="I263" s="16">
        <v>75849.179999999935</v>
      </c>
      <c r="J263" s="16">
        <v>96027.399999999907</v>
      </c>
      <c r="K263" s="16">
        <v>54615.950000000033</v>
      </c>
      <c r="L263" s="16">
        <v>105560.94000000002</v>
      </c>
      <c r="M263" s="16">
        <v>64870.759999999944</v>
      </c>
      <c r="N263" s="16">
        <v>945999.00000000012</v>
      </c>
    </row>
    <row r="264" spans="1:14" x14ac:dyDescent="0.3">
      <c r="A264" s="13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</row>
    <row r="265" spans="1:14" x14ac:dyDescent="0.3">
      <c r="A265" s="14" t="s">
        <v>194</v>
      </c>
      <c r="B265" s="8">
        <v>0</v>
      </c>
      <c r="C265" s="8">
        <v>0</v>
      </c>
      <c r="D265" s="8">
        <v>0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9">
        <v>0</v>
      </c>
    </row>
    <row r="266" spans="1:14" x14ac:dyDescent="0.3">
      <c r="A266" s="14" t="s">
        <v>195</v>
      </c>
      <c r="B266" s="8">
        <v>5724.45</v>
      </c>
      <c r="C266" s="8">
        <v>5570.92</v>
      </c>
      <c r="D266" s="8">
        <v>5800.4</v>
      </c>
      <c r="E266" s="8">
        <v>6095.25</v>
      </c>
      <c r="F266" s="8">
        <v>6965.86</v>
      </c>
      <c r="G266" s="8">
        <v>7433.7</v>
      </c>
      <c r="H266" s="8">
        <v>6828.06</v>
      </c>
      <c r="I266" s="8">
        <v>6949.07</v>
      </c>
      <c r="J266" s="8">
        <v>6901.12</v>
      </c>
      <c r="K266" s="8">
        <v>6568.58</v>
      </c>
      <c r="L266" s="8">
        <v>6129.67</v>
      </c>
      <c r="M266" s="8">
        <v>5638.61</v>
      </c>
      <c r="N266" s="9">
        <v>76605.69</v>
      </c>
    </row>
    <row r="267" spans="1:14" x14ac:dyDescent="0.3">
      <c r="A267" s="14" t="s">
        <v>196</v>
      </c>
      <c r="B267" s="8">
        <v>0</v>
      </c>
      <c r="C267" s="8">
        <v>0</v>
      </c>
      <c r="D267" s="8">
        <v>0</v>
      </c>
      <c r="E267" s="8">
        <v>0</v>
      </c>
      <c r="F267" s="8">
        <v>0</v>
      </c>
      <c r="G267" s="8">
        <v>0</v>
      </c>
      <c r="H267" s="8">
        <v>0</v>
      </c>
      <c r="I267" s="8">
        <v>0</v>
      </c>
      <c r="J267" s="8">
        <v>0</v>
      </c>
      <c r="K267" s="8">
        <v>0</v>
      </c>
      <c r="L267" s="8">
        <v>0</v>
      </c>
      <c r="M267" s="8">
        <v>0</v>
      </c>
      <c r="N267" s="9">
        <v>0</v>
      </c>
    </row>
    <row r="268" spans="1:14" x14ac:dyDescent="0.3">
      <c r="A268" s="14" t="s">
        <v>197</v>
      </c>
      <c r="B268" s="8">
        <v>0</v>
      </c>
      <c r="C268" s="8">
        <v>0</v>
      </c>
      <c r="D268" s="8">
        <v>0</v>
      </c>
      <c r="E268" s="8">
        <v>0</v>
      </c>
      <c r="F268" s="8">
        <v>0</v>
      </c>
      <c r="G268" s="8">
        <v>0</v>
      </c>
      <c r="H268" s="8">
        <v>0</v>
      </c>
      <c r="I268" s="8">
        <v>0</v>
      </c>
      <c r="J268" s="8">
        <v>0</v>
      </c>
      <c r="K268" s="8">
        <v>0</v>
      </c>
      <c r="L268" s="8">
        <v>0</v>
      </c>
      <c r="M268" s="8">
        <v>0</v>
      </c>
      <c r="N268" s="9">
        <v>0</v>
      </c>
    </row>
    <row r="269" spans="1:14" x14ac:dyDescent="0.3">
      <c r="A269" s="14" t="s">
        <v>198</v>
      </c>
      <c r="B269" s="8">
        <v>0</v>
      </c>
      <c r="C269" s="8">
        <v>0</v>
      </c>
      <c r="D269" s="8">
        <v>0</v>
      </c>
      <c r="E269" s="8">
        <v>0</v>
      </c>
      <c r="F269" s="8">
        <v>0</v>
      </c>
      <c r="G269" s="8">
        <v>0</v>
      </c>
      <c r="H269" s="8">
        <v>0</v>
      </c>
      <c r="I269" s="8">
        <v>0</v>
      </c>
      <c r="J269" s="8">
        <v>0</v>
      </c>
      <c r="K269" s="8">
        <v>0</v>
      </c>
      <c r="L269" s="8">
        <v>0</v>
      </c>
      <c r="M269" s="8">
        <v>0</v>
      </c>
      <c r="N269" s="9">
        <v>0</v>
      </c>
    </row>
    <row r="270" spans="1:14" x14ac:dyDescent="0.3">
      <c r="A270" s="13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</row>
    <row r="271" spans="1:14" ht="15" thickBot="1" x14ac:dyDescent="0.35">
      <c r="A271" s="10" t="s">
        <v>199</v>
      </c>
      <c r="B271" s="20">
        <v>41969.749999999935</v>
      </c>
      <c r="C271" s="20">
        <v>35067.99</v>
      </c>
      <c r="D271" s="20">
        <v>66251.740000000034</v>
      </c>
      <c r="E271" s="20">
        <v>77652.299999999916</v>
      </c>
      <c r="F271" s="20">
        <v>78095.799999999959</v>
      </c>
      <c r="G271" s="20">
        <v>114973.04000000005</v>
      </c>
      <c r="H271" s="20">
        <v>90645.510000000024</v>
      </c>
      <c r="I271" s="20">
        <v>68900.109999999928</v>
      </c>
      <c r="J271" s="20">
        <v>89126.279999999912</v>
      </c>
      <c r="K271" s="20">
        <v>48047.370000000032</v>
      </c>
      <c r="L271" s="20">
        <v>99431.270000000019</v>
      </c>
      <c r="M271" s="20">
        <v>59232.149999999943</v>
      </c>
      <c r="N271" s="20">
        <v>869393.31</v>
      </c>
    </row>
  </sheetData>
  <mergeCells count="3">
    <mergeCell ref="B1:N1"/>
    <mergeCell ref="B2:N2"/>
    <mergeCell ref="B3:N3"/>
  </mergeCells>
  <conditionalFormatting sqref="C8:D9">
    <cfRule type="expression" dxfId="0" priority="1">
      <formula>Period&lt;#REF!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Alabi, Olusola</dc:creator>
  <cp:lastModifiedBy>Alabi, Olusola</cp:lastModifiedBy>
  <dcterms:created xsi:type="dcterms:W3CDTF">2026-02-15T04:33:30Z</dcterms:created>
  <dcterms:modified xsi:type="dcterms:W3CDTF">2026-02-15T04:33:46Z</dcterms:modified>
</cp:coreProperties>
</file>